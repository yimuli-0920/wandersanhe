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ea111ff6b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d28b60e4d8f9471b"/>
    <x:sheet xmlns:r="http://schemas.openxmlformats.org/officeDocument/2006/relationships" name="地点统计" sheetId="2" r:id="R7d9aeade321f4290"/>
    <x:sheet xmlns:r="http://schemas.openxmlformats.org/officeDocument/2006/relationships" name="笔记-地点明细" sheetId="3" r:id="R70cc689076cd4c4c"/>
    <x:sheet xmlns:r="http://schemas.openxmlformats.org/officeDocument/2006/relationships" name="坐标与来源" sheetId="4" r:id="R52d18084a1674b2a"/>
    <x:sheet xmlns:r="http://schemas.openxmlformats.org/officeDocument/2006/relationships" name="方法与限制" sheetId="5" r:id="Rfb13e725698d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000"/>
  </x:numFmts>
  <x:fonts count="6">
    <x:font>
      <x:sz val="11"/>
      <x:name val="Carlito"/>
    </x:font>
    <x:font>
      <x:b/>
      <x:sz val="16"/>
      <x:color rgb="FF183A35"/>
      <x:name val="Microsoft YaHei"/>
    </x:font>
    <x:font>
      <x:i/>
      <x:sz val="10"/>
      <x:color rgb="FF64736E"/>
      <x:name val="Microsoft YaHei"/>
    </x:font>
    <x:font>
      <x:b/>
      <x:sz val="10"/>
      <x:color rgb="FFFFFFFF"/>
      <x:name val="Microsoft YaHei"/>
    </x:font>
    <x:font>
      <x:sz val="9"/>
      <x:color rgb="FF263B36"/>
      <x:name val="Microsoft YaHei"/>
    </x:font>
    <x:font>
      <x:sz val="11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F7F5EF"/>
      </x:patternFill>
    </x:fill>
    <x:fill>
      <x:patternFill patternType="solid">
        <x:fgColor rgb="FF183A35"/>
      </x:patternFill>
    </x:fill>
  </x:fills>
  <x:borders count="2">
    <x:border/>
    <x:border>
      <x:bottom style="thin">
        <x:color rgb="FFD8DDD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/>
    </x:xf>
    <x:xf numFmtId="20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200" fontId="4" fillId="2" borderId="1" xfId="0" applyNumberFormat="1" applyFont="1" applyFill="1" applyBorder="1" applyAlignment="1">
      <x:alignment vertical="top"/>
    </x:xf>
    <x:xf numFmtId="201" fontId="4" fillId="2" borderId="0" xfId="0" applyNumberFormat="1" applyFont="1" applyFill="1" applyBorder="1" applyAlignment="1">
      <x:alignment vertical="top"/>
    </x:xf>
    <x:xf numFmtId="201" fontId="4" fillId="2" borderId="1" xfId="0" applyNumberFormat="1" applyFont="1" applyFill="1" applyBorder="1" applyAlignment="1">
      <x:alignment vertical="top"/>
    </x:xf>
    <x:xf numFmtId="0" fontId="5" fillId="2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B84444"/>
      </x:font>
      <x:fill>
        <x:patternFill patternType="solid">
          <x:bgColor rgb="FFFCECEC"/>
        </x:patternFill>
      </x:fill>
    </x:dxf>
    <x:dxf>
      <x:font>
        <x:b/>
        <x:color rgb="FF8A5A00"/>
      </x:font>
      <x:fill>
        <x:patternFill patternType="solid">
          <x:bgColor rgb="FFFFF4D8"/>
        </x:patternFill>
      </x:fill>
    </x:dxf>
    <x:dxf>
      <x:fill>
        <x:patternFill patternType="solid">
          <x:bgColor rgb="FFFFF4D8"/>
        </x:patternFill>
      </x:fill>
    </x:dxf>
    <x:dxf>
      <x:fill>
        <x:patternFill patternType="solid">
          <x:bgColor rgb="FFFFF4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692acc7e1404e" /><Relationship Type="http://schemas.openxmlformats.org/officeDocument/2006/relationships/theme" Target="/xl/theme/theme1.xml" Id="R5073b3d8cbaf48ad" /><Relationship Type="http://schemas.openxmlformats.org/officeDocument/2006/relationships/sharedStrings" Target="/xl/sharedStrings.xml" Id="Rf0a389d459ab4ae2" /><Relationship Type="http://schemas.openxmlformats.org/officeDocument/2006/relationships/worksheet" Target="/xl/worksheets/sheet1.xml" Id="Rd28b60e4d8f9471b" /><Relationship Type="http://schemas.openxmlformats.org/officeDocument/2006/relationships/worksheet" Target="/xl/worksheets/sheet2.xml" Id="R7d9aeade321f4290" /><Relationship Type="http://schemas.openxmlformats.org/officeDocument/2006/relationships/worksheet" Target="/xl/worksheets/sheet3.xml" Id="R70cc689076cd4c4c" /><Relationship Type="http://schemas.openxmlformats.org/officeDocument/2006/relationships/worksheet" Target="/xl/worksheets/sheet4.xml" Id="R52d18084a1674b2a" /><Relationship Type="http://schemas.openxmlformats.org/officeDocument/2006/relationships/worksheet" Target="/xl/worksheets/sheet5.xml" Id="Rfb13e725698d43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66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2" t="str">
        <x:v>三河古镇小红书地点地图分析</x:v>
      </x:c>
      <x:c r="B2" s="2"/>
      <x:c r="C2" s="2"/>
      <x:c r="D2" s="2"/>
      <x:c r="E2" s="2"/>
      <x:c r="F2" s="2"/>
      <x:c r="G2" s="2"/>
      <x:c r="H2" s="2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3" t="str">
        <x:v>将固定样本中的明确地点提及映射到真实坐标；此表不是用户推荐地图，也不是客流热度统计。</x:v>
      </x:c>
      <x:c r="B3" s="3"/>
      <x:c r="C3" s="3"/>
      <x:c r="D3" s="3"/>
      <x:c r="E3" s="3"/>
      <x:c r="F3" s="3"/>
      <x:c r="G3" s="3"/>
      <x:c r="H3" s="3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34" customHeight="1">
      <x:c r="A5" s="8" t="str">
        <x:v>指标</x:v>
      </x:c>
      <x:c r="B5" s="8" t="str">
        <x:v>结果</x:v>
      </x:c>
      <x:c r="C5" s="8" t="str">
        <x:v>口径／解释</x:v>
      </x:c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0" t="str">
        <x:v>固定样本唯一ID</x:v>
      </x:c>
      <x:c r="B6" s="10" t="n">
        <x:v>134</x:v>
      </x:c>
      <x:c r="C6" s="10" t="str">
        <x:v>源全量编码中按note_id精确去重</x:v>
      </x:c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0" t="str">
        <x:v>访客分析纳入</x:v>
      </x:c>
      <x:c r="B7" s="10" t="n">
        <x:v>86</x:v>
      </x:c>
      <x:c r="C7" s="10" t="str">
        <x:v>排除明确无关、官方或服务商等记录后的访客样本</x:v>
      </x:c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0" t="str">
        <x:v>含明确地点笔记</x:v>
      </x:c>
      <x:c r="B8" s="10" t="n">
        <x:v>13</x:v>
      </x:c>
      <x:c r="C8" s="10" t="str">
        <x:v>现有标题或已保存正文出现明确地点专名</x:v>
      </x:c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0" t="str">
        <x:v>文本地点覆盖率</x:v>
      </x:c>
      <x:c r="B9" s="12" t="n">
        <x:f>B8/B7</x:f>
        <x:v>0.1511627906976744</x:v>
      </x:c>
      <x:c r="C9" s="10" t="str">
        <x:v>含明确地点笔记÷访客分析纳入</x:v>
      </x:c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0" t="str">
        <x:v>兴趣点数量</x:v>
      </x:c>
      <x:c r="B10" s="10" t="n">
        <x:v>28</x:v>
      </x:c>
      <x:c r="C10" s="10" t="str">
        <x:v>13篇笔记中抽取的不同地点名称</x:v>
      </x:c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0" t="str">
        <x:v>笔记—地点记录</x:v>
      </x:c>
      <x:c r="B11" s="10" t="n">
        <x:v>83</x:v>
      </x:c>
      <x:c r="C11" s="10" t="str">
        <x:v>同篇同地点只计1次，一篇可对应多个地点</x:v>
      </x:c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0" t="str">
        <x:v>核验点位数</x:v>
      </x:c>
      <x:c r="B12" s="10" t="n">
        <x:f>COUNTIF('坐标与来源'!J6:J33,"exact")</x:f>
        <x:v>20</x:v>
      </x:c>
      <x:c r="C12" s="10" t="str">
        <x:v>坐标表中标记为exact的地点</x:v>
      </x:c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0" t="str">
        <x:v>代表／近似点数</x:v>
      </x:c>
      <x:c r="B13" s="10" t="n">
        <x:f>COUNTIF('坐标与来源'!J6:J33,"representative")</x:f>
        <x:v>8</x:v>
      </x:c>
      <x:c r="C13" s="10" t="str">
        <x:v>线状地物、街区或待现场核验点</x:v>
      </x:c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1" t="str">
        <x:v>地点照片数</x:v>
      </x:c>
      <x:c r="B14" s="11" t="str">
        <x:v>不可计算</x:v>
      </x:c>
      <x:c r="C14" s="11" t="str">
        <x:v>源数据没有照片—地点映射，不能用笔记总配图数替代</x:v>
      </x:c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34" customHeight="1">
      <x:c r="A16" s="8" t="str">
        <x:v>必须先说明的限制</x:v>
      </x:c>
      <x:c r="B16" s="8" t="str">
        <x:v>严重性</x:v>
      </x:c>
      <x:c r="C16" s="8" t="str">
        <x:v>答辩时建议表述</x:v>
      </x:c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3" t="str">
        <x:v>只有13/86篇访客样本存在明确地点文本</x:v>
      </x:c>
      <x:c r="B17" s="13" t="str">
        <x:v>高</x:v>
      </x:c>
      <x:c r="C17" s="13" t="str">
        <x:v>地图反映现有文本证据覆盖，不代表其余73篇没有地点内容</x:v>
      </x:c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3" t="str">
        <x:v>平台检索样本不是概率抽样</x:v>
      </x:c>
      <x:c r="B18" s="13" t="str">
        <x:v>高</x:v>
      </x:c>
      <x:c r="C18" s="13" t="str">
        <x:v>只能描述固定样本，不能外推全部游客或全部小红书内容</x:v>
      </x:c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3" t="str">
        <x:v>8个地点使用代表／近似坐标</x:v>
      </x:c>
      <x:c r="B19" s="13" t="str">
        <x:v>中</x:v>
      </x:c>
      <x:c r="C19" s="13" t="str">
        <x:v>与核验点位分层显示，不能用于精确导航或距离推断</x:v>
      </x:c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4" t="str">
        <x:v>照片未逐图标注地点</x:v>
      </x:c>
      <x:c r="B20" s="14" t="str">
        <x:v>高</x:v>
      </x:c>
      <x:c r="C20" s="14" t="str">
        <x:v>本阶段只报告笔记提及数；照片数留空并解释缺失原因</x:v>
      </x:c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mergeCells>
    <x:mergeCell ref="A2:H2"/>
    <x:mergeCell ref="A3:H3"/>
  </x:mergeCells>
  <x:conditionalFormatting sqref="B17:B20">
    <x:cfRule type="expression" dxfId="0" priority="1">
      <x:formula>$B17="高"</x:formula>
    </x:cfRule>
    <x:cfRule type="expression" dxfId="1" priority="2">
      <x:formula>$B17="中"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8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2" t="str">
        <x:v>地点统计</x:v>
      </x:c>
      <x:c r="B2" s="2"/>
      <x:c r="C2" s="2"/>
      <x:c r="D2" s="2"/>
      <x:c r="E2" s="2"/>
      <x:c r="F2" s="2"/>
      <x:c r="G2" s="2"/>
      <x:c r="H2" s="2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3" t="str">
        <x:v>按样本内提及数降序；“热度”一词容易误导，因此统一称为样本内地点提及频次。</x:v>
      </x:c>
      <x:c r="B3" s="3"/>
      <x:c r="C3" s="3"/>
      <x:c r="D3" s="3"/>
      <x:c r="E3" s="3"/>
      <x:c r="F3" s="3"/>
      <x:c r="G3" s="3"/>
      <x:c r="H3" s="3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34" customHeight="1">
      <x:c r="A5" s="8" t="str">
        <x:v>排名</x:v>
      </x:c>
      <x:c r="B5" s="8" t="str">
        <x:v>地点</x:v>
      </x:c>
      <x:c r="C5" s="8" t="str">
        <x:v>类别</x:v>
      </x:c>
      <x:c r="D5" s="8" t="str">
        <x:v>去重笔记数</x:v>
      </x:c>
      <x:c r="E5" s="8" t="str">
        <x:v>去重作者数</x:v>
      </x:c>
      <x:c r="F5" s="8" t="str">
        <x:v>访客样本占比</x:v>
      </x:c>
      <x:c r="G5" s="8" t="str">
        <x:v>固定样本占比</x:v>
      </x:c>
      <x:c r="H5" s="8" t="str">
        <x:v>地点照片数</x:v>
      </x:c>
      <x:c r="I5" s="8" t="str">
        <x:v>坐标精度</x:v>
      </x:c>
      <x:c r="J5" s="8" t="str">
        <x:v>坐标状态</x:v>
      </x:c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27" customHeight="1">
      <x:c r="A6" s="10" t="n">
        <x:v>1</x:v>
      </x:c>
      <x:c r="B6" s="10" t="str">
        <x:v>小南河</x:v>
      </x:c>
      <x:c r="C6" s="10" t="str">
        <x:v>水岸与桥梁</x:v>
      </x:c>
      <x:c r="D6" s="10" t="n">
        <x:f>COUNTIF('笔记-地点明细'!$E$6:$E$88,B6)</x:f>
        <x:v>8</x:v>
      </x:c>
      <x:c r="E6" s="10" t="n">
        <x:v>8</x:v>
      </x:c>
      <x:c r="F6" s="12" t="n">
        <x:f>D6/'概览'!$B$7</x:f>
        <x:v>0.09302325581395349</x:v>
      </x:c>
      <x:c r="G6" s="12" t="n">
        <x:f>D6/'概览'!$B$6</x:f>
        <x:v>0.05970149253731343</x:v>
      </x:c>
      <x:c r="H6" s="10" t="str">
        <x:v>不可计算</x:v>
      </x:c>
      <x:c r="I6" s="10" t="str">
        <x:v>representative</x:v>
      </x:c>
      <x:c r="J6" s="10" t="str">
        <x:v>线状地物代表点</x:v>
      </x:c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27" customHeight="1">
      <x:c r="A7" s="10" t="n">
        <x:v>2</x:v>
      </x:c>
      <x:c r="B7" s="10" t="str">
        <x:v>望月阁</x:v>
      </x:c>
      <x:c r="C7" s="10" t="str">
        <x:v>地标与服务</x:v>
      </x:c>
      <x:c r="D7" s="10" t="n">
        <x:f>COUNTIF('笔记-地点明细'!$E$6:$E$88,B7)</x:f>
        <x:v>8</x:v>
      </x:c>
      <x:c r="E7" s="10" t="n">
        <x:v>8</x:v>
      </x:c>
      <x:c r="F7" s="12" t="n">
        <x:f>D7/'概览'!$B$7</x:f>
        <x:v>0.09302325581395349</x:v>
      </x:c>
      <x:c r="G7" s="12" t="n">
        <x:f>D7/'概览'!$B$6</x:f>
        <x:v>0.05970149253731343</x:v>
      </x:c>
      <x:c r="H7" s="10" t="str">
        <x:v>不可计算</x:v>
      </x:c>
      <x:c r="I7" s="10" t="str">
        <x:v>exact</x:v>
      </x:c>
      <x:c r="J7" s="10" t="str">
        <x:v>核验点位</x:v>
      </x:c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27" customHeight="1">
      <x:c r="A8" s="10" t="n">
        <x:v>3</x:v>
      </x:c>
      <x:c r="B8" s="10" t="str">
        <x:v>杨振宁旧居</x:v>
      </x:c>
      <x:c r="C8" s="10" t="str">
        <x:v>名人故居与文化</x:v>
      </x:c>
      <x:c r="D8" s="10" t="n">
        <x:f>COUNTIF('笔记-地点明细'!$E$6:$E$88,B8)</x:f>
        <x:v>8</x:v>
      </x:c>
      <x:c r="E8" s="10" t="n">
        <x:v>8</x:v>
      </x:c>
      <x:c r="F8" s="12" t="n">
        <x:f>D8/'概览'!$B$7</x:f>
        <x:v>0.09302325581395349</x:v>
      </x:c>
      <x:c r="G8" s="12" t="n">
        <x:f>D8/'概览'!$B$6</x:f>
        <x:v>0.05970149253731343</x:v>
      </x:c>
      <x:c r="H8" s="10" t="str">
        <x:v>不可计算</x:v>
      </x:c>
      <x:c r="I8" s="10" t="str">
        <x:v>exact</x:v>
      </x:c>
      <x:c r="J8" s="10" t="str">
        <x:v>核验点位</x:v>
      </x:c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27" customHeight="1">
      <x:c r="A9" s="10" t="n">
        <x:v>4</x:v>
      </x:c>
      <x:c r="B9" s="10" t="str">
        <x:v>一人巷</x:v>
      </x:c>
      <x:c r="C9" s="10" t="str">
        <x:v>古街巷</x:v>
      </x:c>
      <x:c r="D9" s="10" t="n">
        <x:f>COUNTIF('笔记-地点明细'!$E$6:$E$88,B9)</x:f>
        <x:v>6</x:v>
      </x:c>
      <x:c r="E9" s="10" t="n">
        <x:v>6</x:v>
      </x:c>
      <x:c r="F9" s="12" t="n">
        <x:f>D9/'概览'!$B$7</x:f>
        <x:v>0.06976744186046512</x:v>
      </x:c>
      <x:c r="G9" s="12" t="n">
        <x:f>D9/'概览'!$B$6</x:f>
        <x:v>0.04477611940298507</x:v>
      </x:c>
      <x:c r="H9" s="10" t="str">
        <x:v>不可计算</x:v>
      </x:c>
      <x:c r="I9" s="10" t="str">
        <x:v>exact</x:v>
      </x:c>
      <x:c r="J9" s="10" t="str">
        <x:v>核验点位</x:v>
      </x:c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27" customHeight="1">
      <x:c r="A10" s="10" t="n">
        <x:v>5</x:v>
      </x:c>
      <x:c r="B10" s="10" t="str">
        <x:v>三县桥</x:v>
      </x:c>
      <x:c r="C10" s="10" t="str">
        <x:v>水岸与桥梁</x:v>
      </x:c>
      <x:c r="D10" s="10" t="n">
        <x:f>COUNTIF('笔记-地点明细'!$E$6:$E$88,B10)</x:f>
        <x:v>6</x:v>
      </x:c>
      <x:c r="E10" s="10" t="n">
        <x:v>6</x:v>
      </x:c>
      <x:c r="F10" s="12" t="n">
        <x:f>D10/'概览'!$B$7</x:f>
        <x:v>0.06976744186046512</x:v>
      </x:c>
      <x:c r="G10" s="12" t="n">
        <x:f>D10/'概览'!$B$6</x:f>
        <x:v>0.04477611940298507</x:v>
      </x:c>
      <x:c r="H10" s="10" t="str">
        <x:v>不可计算</x:v>
      </x:c>
      <x:c r="I10" s="10" t="str">
        <x:v>exact</x:v>
      </x:c>
      <x:c r="J10" s="10" t="str">
        <x:v>核验点位</x:v>
      </x:c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27" customHeight="1">
      <x:c r="A11" s="10" t="n">
        <x:v>6</x:v>
      </x:c>
      <x:c r="B11" s="10" t="str">
        <x:v>刘同兴隆庄</x:v>
      </x:c>
      <x:c r="C11" s="10" t="str">
        <x:v>名人故居与文化</x:v>
      </x:c>
      <x:c r="D11" s="10" t="n">
        <x:f>COUNTIF('笔记-地点明细'!$E$6:$E$88,B11)</x:f>
        <x:v>5</x:v>
      </x:c>
      <x:c r="E11" s="10" t="n">
        <x:v>5</x:v>
      </x:c>
      <x:c r="F11" s="12" t="n">
        <x:f>D11/'概览'!$B$7</x:f>
        <x:v>0.05813953488372093</x:v>
      </x:c>
      <x:c r="G11" s="12" t="n">
        <x:f>D11/'概览'!$B$6</x:f>
        <x:v>0.03731343283582089</x:v>
      </x:c>
      <x:c r="H11" s="10" t="str">
        <x:v>不可计算</x:v>
      </x:c>
      <x:c r="I11" s="10" t="str">
        <x:v>exact</x:v>
      </x:c>
      <x:c r="J11" s="10" t="str">
        <x:v>核验点位</x:v>
      </x:c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27" customHeight="1">
      <x:c r="A12" s="10" t="n">
        <x:v>7</x:v>
      </x:c>
      <x:c r="B12" s="10" t="str">
        <x:v>鹊渚廊桥</x:v>
      </x:c>
      <x:c r="C12" s="10" t="str">
        <x:v>水岸与桥梁</x:v>
      </x:c>
      <x:c r="D12" s="10" t="n">
        <x:f>COUNTIF('笔记-地点明细'!$E$6:$E$88,B12)</x:f>
        <x:v>5</x:v>
      </x:c>
      <x:c r="E12" s="10" t="n">
        <x:v>5</x:v>
      </x:c>
      <x:c r="F12" s="12" t="n">
        <x:f>D12/'概览'!$B$7</x:f>
        <x:v>0.05813953488372093</x:v>
      </x:c>
      <x:c r="G12" s="12" t="n">
        <x:f>D12/'概览'!$B$6</x:f>
        <x:v>0.03731343283582089</x:v>
      </x:c>
      <x:c r="H12" s="10" t="str">
        <x:v>不可计算</x:v>
      </x:c>
      <x:c r="I12" s="10" t="str">
        <x:v>exact</x:v>
      </x:c>
      <x:c r="J12" s="10" t="str">
        <x:v>核验点位</x:v>
      </x:c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27" customHeight="1">
      <x:c r="A13" s="10" t="n">
        <x:v>8</x:v>
      </x:c>
      <x:c r="B13" s="10" t="str">
        <x:v>万年禅寺</x:v>
      </x:c>
      <x:c r="C13" s="10" t="str">
        <x:v>名人故居与文化</x:v>
      </x:c>
      <x:c r="D13" s="10" t="n">
        <x:f>COUNTIF('笔记-地点明细'!$E$6:$E$88,B13)</x:f>
        <x:v>3</x:v>
      </x:c>
      <x:c r="E13" s="10" t="n">
        <x:v>3</x:v>
      </x:c>
      <x:c r="F13" s="12" t="n">
        <x:f>D13/'概览'!$B$7</x:f>
        <x:v>0.03488372093023256</x:v>
      </x:c>
      <x:c r="G13" s="12" t="n">
        <x:f>D13/'概览'!$B$6</x:f>
        <x:v>0.022388059701492536</x:v>
      </x:c>
      <x:c r="H13" s="10" t="str">
        <x:v>不可计算</x:v>
      </x:c>
      <x:c r="I13" s="10" t="str">
        <x:v>representative</x:v>
      </x:c>
      <x:c r="J13" s="10" t="str">
        <x:v>名称待核验</x:v>
      </x:c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27" customHeight="1">
      <x:c r="A14" s="10" t="n">
        <x:v>9</x:v>
      </x:c>
      <x:c r="B14" s="10" t="str">
        <x:v>仙姑楼</x:v>
      </x:c>
      <x:c r="C14" s="10" t="str">
        <x:v>地标与服务</x:v>
      </x:c>
      <x:c r="D14" s="10" t="n">
        <x:f>COUNTIF('笔记-地点明细'!$E$6:$E$88,B14)</x:f>
        <x:v>3</x:v>
      </x:c>
      <x:c r="E14" s="10" t="n">
        <x:v>3</x:v>
      </x:c>
      <x:c r="F14" s="12" t="n">
        <x:f>D14/'概览'!$B$7</x:f>
        <x:v>0.03488372093023256</x:v>
      </x:c>
      <x:c r="G14" s="12" t="n">
        <x:f>D14/'概览'!$B$6</x:f>
        <x:v>0.022388059701492536</x:v>
      </x:c>
      <x:c r="H14" s="10" t="str">
        <x:v>不可计算</x:v>
      </x:c>
      <x:c r="I14" s="10" t="str">
        <x:v>exact</x:v>
      </x:c>
      <x:c r="J14" s="10" t="str">
        <x:v>核验点位</x:v>
      </x:c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27" customHeight="1">
      <x:c r="A15" s="10" t="n">
        <x:v>10</x:v>
      </x:c>
      <x:c r="B15" s="10" t="str">
        <x:v>仙归桥</x:v>
      </x:c>
      <x:c r="C15" s="10" t="str">
        <x:v>水岸与桥梁</x:v>
      </x:c>
      <x:c r="D15" s="10" t="n">
        <x:f>COUNTIF('笔记-地点明细'!$E$6:$E$88,B15)</x:f>
        <x:v>3</x:v>
      </x:c>
      <x:c r="E15" s="10" t="n">
        <x:v>3</x:v>
      </x:c>
      <x:c r="F15" s="12" t="n">
        <x:f>D15/'概览'!$B$7</x:f>
        <x:v>0.03488372093023256</x:v>
      </x:c>
      <x:c r="G15" s="12" t="n">
        <x:f>D15/'概览'!$B$6</x:f>
        <x:v>0.022388059701492536</x:v>
      </x:c>
      <x:c r="H15" s="10" t="str">
        <x:v>不可计算</x:v>
      </x:c>
      <x:c r="I15" s="10" t="str">
        <x:v>exact</x:v>
      </x:c>
      <x:c r="J15" s="10" t="str">
        <x:v>核验点位</x:v>
      </x:c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27" customHeight="1">
      <x:c r="A16" s="10" t="n">
        <x:v>11</x:v>
      </x:c>
      <x:c r="B16" s="10" t="str">
        <x:v>古西街</x:v>
      </x:c>
      <x:c r="C16" s="10" t="str">
        <x:v>古街巷</x:v>
      </x:c>
      <x:c r="D16" s="10" t="n">
        <x:f>COUNTIF('笔记-地点明细'!$E$6:$E$88,B16)</x:f>
        <x:v>3</x:v>
      </x:c>
      <x:c r="E16" s="10" t="n">
        <x:v>3</x:v>
      </x:c>
      <x:c r="F16" s="12" t="n">
        <x:f>D16/'概览'!$B$7</x:f>
        <x:v>0.03488372093023256</x:v>
      </x:c>
      <x:c r="G16" s="12" t="n">
        <x:f>D16/'概览'!$B$6</x:f>
        <x:v>0.022388059701492536</x:v>
      </x:c>
      <x:c r="H16" s="10" t="str">
        <x:v>不可计算</x:v>
      </x:c>
      <x:c r="I16" s="10" t="str">
        <x:v>representative</x:v>
      </x:c>
      <x:c r="J16" s="10" t="str">
        <x:v>街区代表点</x:v>
      </x:c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27" customHeight="1">
      <x:c r="A17" s="10" t="n">
        <x:v>12</x:v>
      </x:c>
      <x:c r="B17" s="10" t="str">
        <x:v>望月桥</x:v>
      </x:c>
      <x:c r="C17" s="10" t="str">
        <x:v>水岸与桥梁</x:v>
      </x:c>
      <x:c r="D17" s="10" t="n">
        <x:f>COUNTIF('笔记-地点明细'!$E$6:$E$88,B17)</x:f>
        <x:v>3</x:v>
      </x:c>
      <x:c r="E17" s="10" t="n">
        <x:v>3</x:v>
      </x:c>
      <x:c r="F17" s="12" t="n">
        <x:f>D17/'概览'!$B$7</x:f>
        <x:v>0.03488372093023256</x:v>
      </x:c>
      <x:c r="G17" s="12" t="n">
        <x:f>D17/'概览'!$B$6</x:f>
        <x:v>0.022388059701492536</x:v>
      </x:c>
      <x:c r="H17" s="10" t="str">
        <x:v>不可计算</x:v>
      </x:c>
      <x:c r="I17" s="10" t="str">
        <x:v>exact</x:v>
      </x:c>
      <x:c r="J17" s="10" t="str">
        <x:v>核验点位</x:v>
      </x:c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27" customHeight="1">
      <x:c r="A18" s="10" t="n">
        <x:v>13</x:v>
      </x:c>
      <x:c r="B18" s="10" t="str">
        <x:v>董寅初纪念馆</x:v>
      </x:c>
      <x:c r="C18" s="10" t="str">
        <x:v>名人故居与文化</x:v>
      </x:c>
      <x:c r="D18" s="10" t="n">
        <x:f>COUNTIF('笔记-地点明细'!$E$6:$E$88,B18)</x:f>
        <x:v>3</x:v>
      </x:c>
      <x:c r="E18" s="10" t="n">
        <x:v>3</x:v>
      </x:c>
      <x:c r="F18" s="12" t="n">
        <x:f>D18/'概览'!$B$7</x:f>
        <x:v>0.03488372093023256</x:v>
      </x:c>
      <x:c r="G18" s="12" t="n">
        <x:f>D18/'概览'!$B$6</x:f>
        <x:v>0.022388059701492536</x:v>
      </x:c>
      <x:c r="H18" s="10" t="str">
        <x:v>不可计算</x:v>
      </x:c>
      <x:c r="I18" s="10" t="str">
        <x:v>exact</x:v>
      </x:c>
      <x:c r="J18" s="10" t="str">
        <x:v>核验点位</x:v>
      </x:c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27" customHeight="1">
      <x:c r="A19" s="10" t="n">
        <x:v>14</x:v>
      </x:c>
      <x:c r="B19" s="10" t="str">
        <x:v>万年台</x:v>
      </x:c>
      <x:c r="C19" s="10" t="str">
        <x:v>地标与服务</x:v>
      </x:c>
      <x:c r="D19" s="10" t="n">
        <x:f>COUNTIF('笔记-地点明细'!$E$6:$E$88,B19)</x:f>
        <x:v>2</x:v>
      </x:c>
      <x:c r="E19" s="10" t="n">
        <x:v>2</x:v>
      </x:c>
      <x:c r="F19" s="12" t="n">
        <x:f>D19/'概览'!$B$7</x:f>
        <x:v>0.023255813953488372</x:v>
      </x:c>
      <x:c r="G19" s="12" t="n">
        <x:f>D19/'概览'!$B$6</x:f>
        <x:v>0.014925373134328358</x:v>
      </x:c>
      <x:c r="H19" s="10" t="str">
        <x:v>不可计算</x:v>
      </x:c>
      <x:c r="I19" s="10" t="str">
        <x:v>exact</x:v>
      </x:c>
      <x:c r="J19" s="10" t="str">
        <x:v>核验点位</x:v>
      </x:c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27" customHeight="1">
      <x:c r="A20" s="10" t="n">
        <x:v>15</x:v>
      </x:c>
      <x:c r="B20" s="10" t="str">
        <x:v>二龙桥</x:v>
      </x:c>
      <x:c r="C20" s="10" t="str">
        <x:v>水岸与桥梁</x:v>
      </x:c>
      <x:c r="D20" s="10" t="n">
        <x:f>COUNTIF('笔记-地点明细'!$E$6:$E$88,B20)</x:f>
        <x:v>2</x:v>
      </x:c>
      <x:c r="E20" s="10" t="n">
        <x:v>2</x:v>
      </x:c>
      <x:c r="F20" s="12" t="n">
        <x:f>D20/'概览'!$B$7</x:f>
        <x:v>0.023255813953488372</x:v>
      </x:c>
      <x:c r="G20" s="12" t="n">
        <x:f>D20/'概览'!$B$6</x:f>
        <x:v>0.014925373134328358</x:v>
      </x:c>
      <x:c r="H20" s="10" t="str">
        <x:v>不可计算</x:v>
      </x:c>
      <x:c r="I20" s="10" t="str">
        <x:v>exact</x:v>
      </x:c>
      <x:c r="J20" s="10" t="str">
        <x:v>核验点位</x:v>
      </x:c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27" customHeight="1">
      <x:c r="A21" s="10" t="n">
        <x:v>16</x:v>
      </x:c>
      <x:c r="B21" s="10" t="str">
        <x:v>游客中心</x:v>
      </x:c>
      <x:c r="C21" s="10" t="str">
        <x:v>地标与服务</x:v>
      </x:c>
      <x:c r="D21" s="10" t="n">
        <x:f>COUNTIF('笔记-地点明细'!$E$6:$E$88,B21)</x:f>
        <x:v>2</x:v>
      </x:c>
      <x:c r="E21" s="10" t="n">
        <x:v>2</x:v>
      </x:c>
      <x:c r="F21" s="12" t="n">
        <x:f>D21/'概览'!$B$7</x:f>
        <x:v>0.023255813953488372</x:v>
      </x:c>
      <x:c r="G21" s="12" t="n">
        <x:f>D21/'概览'!$B$6</x:f>
        <x:v>0.014925373134328358</x:v>
      </x:c>
      <x:c r="H21" s="10" t="str">
        <x:v>不可计算</x:v>
      </x:c>
      <x:c r="I21" s="10" t="str">
        <x:v>exact</x:v>
      </x:c>
      <x:c r="J21" s="10" t="str">
        <x:v>核验点位</x:v>
      </x:c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27" customHeight="1">
      <x:c r="A22" s="10" t="n">
        <x:v>17</x:v>
      </x:c>
      <x:c r="B22" s="10" t="str">
        <x:v>鹤庐</x:v>
      </x:c>
      <x:c r="C22" s="10" t="str">
        <x:v>名人故居与文化</x:v>
      </x:c>
      <x:c r="D22" s="10" t="n">
        <x:f>COUNTIF('笔记-地点明细'!$E$6:$E$88,B22)</x:f>
        <x:v>2</x:v>
      </x:c>
      <x:c r="E22" s="10" t="n">
        <x:v>2</x:v>
      </x:c>
      <x:c r="F22" s="12" t="n">
        <x:f>D22/'概览'!$B$7</x:f>
        <x:v>0.023255813953488372</x:v>
      </x:c>
      <x:c r="G22" s="12" t="n">
        <x:f>D22/'概览'!$B$6</x:f>
        <x:v>0.014925373134328358</x:v>
      </x:c>
      <x:c r="H22" s="10" t="str">
        <x:v>不可计算</x:v>
      </x:c>
      <x:c r="I22" s="10" t="str">
        <x:v>exact</x:v>
      </x:c>
      <x:c r="J22" s="10" t="str">
        <x:v>核验点位</x:v>
      </x:c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27" customHeight="1">
      <x:c r="A23" s="10" t="n">
        <x:v>18</x:v>
      </x:c>
      <x:c r="B23" s="10" t="str">
        <x:v>八扇街</x:v>
      </x:c>
      <x:c r="C23" s="10" t="str">
        <x:v>古街巷</x:v>
      </x:c>
      <x:c r="D23" s="10" t="n">
        <x:f>COUNTIF('笔记-地点明细'!$E$6:$E$88,B23)</x:f>
        <x:v>1</x:v>
      </x:c>
      <x:c r="E23" s="10" t="n">
        <x:v>1</x:v>
      </x:c>
      <x:c r="F23" s="12" t="n">
        <x:f>D23/'概览'!$B$7</x:f>
        <x:v>0.011627906976744186</x:v>
      </x:c>
      <x:c r="G23" s="12" t="n">
        <x:f>D23/'概览'!$B$6</x:f>
        <x:v>0.007462686567164179</x:v>
      </x:c>
      <x:c r="H23" s="10" t="str">
        <x:v>不可计算</x:v>
      </x:c>
      <x:c r="I23" s="10" t="str">
        <x:v>representative</x:v>
      </x:c>
      <x:c r="J23" s="10" t="str">
        <x:v>街区代表点，待现场核验</x:v>
      </x:c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27" customHeight="1">
      <x:c r="A24" s="10" t="n">
        <x:v>19</x:v>
      </x:c>
      <x:c r="B24" s="10" t="str">
        <x:v>古码头</x:v>
      </x:c>
      <x:c r="C24" s="10" t="str">
        <x:v>水岸与桥梁</x:v>
      </x:c>
      <x:c r="D24" s="10" t="n">
        <x:f>COUNTIF('笔记-地点明细'!$E$6:$E$88,B24)</x:f>
        <x:v>1</x:v>
      </x:c>
      <x:c r="E24" s="10" t="n">
        <x:v>1</x:v>
      </x:c>
      <x:c r="F24" s="12" t="n">
        <x:f>D24/'概览'!$B$7</x:f>
        <x:v>0.011627906976744186</x:v>
      </x:c>
      <x:c r="G24" s="12" t="n">
        <x:f>D24/'概览'!$B$6</x:f>
        <x:v>0.007462686567164179</x:v>
      </x:c>
      <x:c r="H24" s="10" t="str">
        <x:v>不可计算</x:v>
      </x:c>
      <x:c r="I24" s="10" t="str">
        <x:v>representative</x:v>
      </x:c>
      <x:c r="J24" s="10" t="str">
        <x:v>近似位置，待现场核验</x:v>
      </x:c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27" customHeight="1">
      <x:c r="A25" s="10" t="n">
        <x:v>20</x:v>
      </x:c>
      <x:c r="B25" s="10" t="str">
        <x:v>合众巷</x:v>
      </x:c>
      <x:c r="C25" s="10" t="str">
        <x:v>古街巷</x:v>
      </x:c>
      <x:c r="D25" s="10" t="n">
        <x:f>COUNTIF('笔记-地点明细'!$E$6:$E$88,B25)</x:f>
        <x:v>1</x:v>
      </x:c>
      <x:c r="E25" s="10" t="n">
        <x:v>1</x:v>
      </x:c>
      <x:c r="F25" s="12" t="n">
        <x:f>D25/'概览'!$B$7</x:f>
        <x:v>0.011627906976744186</x:v>
      </x:c>
      <x:c r="G25" s="12" t="n">
        <x:f>D25/'概览'!$B$6</x:f>
        <x:v>0.007462686567164179</x:v>
      </x:c>
      <x:c r="H25" s="10" t="str">
        <x:v>不可计算</x:v>
      </x:c>
      <x:c r="I25" s="10" t="str">
        <x:v>exact</x:v>
      </x:c>
      <x:c r="J25" s="10" t="str">
        <x:v>核验点位</x:v>
      </x:c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27" customHeight="1">
      <x:c r="A26" s="10" t="n">
        <x:v>21</x:v>
      </x:c>
      <x:c r="B26" s="10" t="str">
        <x:v>城隍庙</x:v>
      </x:c>
      <x:c r="C26" s="10" t="str">
        <x:v>名人故居与文化</x:v>
      </x:c>
      <x:c r="D26" s="10" t="n">
        <x:f>COUNTIF('笔记-地点明细'!$E$6:$E$88,B26)</x:f>
        <x:v>1</x:v>
      </x:c>
      <x:c r="E26" s="10" t="n">
        <x:v>1</x:v>
      </x:c>
      <x:c r="F26" s="12" t="n">
        <x:f>D26/'概览'!$B$7</x:f>
        <x:v>0.011627906976744186</x:v>
      </x:c>
      <x:c r="G26" s="12" t="n">
        <x:f>D26/'概览'!$B$6</x:f>
        <x:v>0.007462686567164179</x:v>
      </x:c>
      <x:c r="H26" s="10" t="str">
        <x:v>不可计算</x:v>
      </x:c>
      <x:c r="I26" s="10" t="str">
        <x:v>exact</x:v>
      </x:c>
      <x:c r="J26" s="10" t="str">
        <x:v>核验点位</x:v>
      </x:c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27" customHeight="1">
      <x:c r="A27" s="10" t="n">
        <x:v>22</x:v>
      </x:c>
      <x:c r="B27" s="10" t="str">
        <x:v>大捷门</x:v>
      </x:c>
      <x:c r="C27" s="10" t="str">
        <x:v>地标与服务</x:v>
      </x:c>
      <x:c r="D27" s="10" t="n">
        <x:f>COUNTIF('笔记-地点明细'!$E$6:$E$88,B27)</x:f>
        <x:v>1</x:v>
      </x:c>
      <x:c r="E27" s="10" t="n">
        <x:v>1</x:v>
      </x:c>
      <x:c r="F27" s="12" t="n">
        <x:f>D27/'概览'!$B$7</x:f>
        <x:v>0.011627906976744186</x:v>
      </x:c>
      <x:c r="G27" s="12" t="n">
        <x:f>D27/'概览'!$B$6</x:f>
        <x:v>0.007462686567164179</x:v>
      </x:c>
      <x:c r="H27" s="10" t="str">
        <x:v>不可计算</x:v>
      </x:c>
      <x:c r="I27" s="10" t="str">
        <x:v>exact</x:v>
      </x:c>
      <x:c r="J27" s="10" t="str">
        <x:v>核验点位</x:v>
      </x:c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27" customHeight="1">
      <x:c r="A28" s="10" t="n">
        <x:v>23</x:v>
      </x:c>
      <x:c r="B28" s="10" t="str">
        <x:v>孙立人故居</x:v>
      </x:c>
      <x:c r="C28" s="10" t="str">
        <x:v>名人故居与文化</x:v>
      </x:c>
      <x:c r="D28" s="10" t="n">
        <x:f>COUNTIF('笔记-地点明细'!$E$6:$E$88,B28)</x:f>
        <x:v>1</x:v>
      </x:c>
      <x:c r="E28" s="10" t="n">
        <x:v>1</x:v>
      </x:c>
      <x:c r="F28" s="12" t="n">
        <x:f>D28/'概览'!$B$7</x:f>
        <x:v>0.011627906976744186</x:v>
      </x:c>
      <x:c r="G28" s="12" t="n">
        <x:f>D28/'概览'!$B$6</x:f>
        <x:v>0.007462686567164179</x:v>
      </x:c>
      <x:c r="H28" s="10" t="str">
        <x:v>不可计算</x:v>
      </x:c>
      <x:c r="I28" s="10" t="str">
        <x:v>exact</x:v>
      </x:c>
      <x:c r="J28" s="10" t="str">
        <x:v>核验点位</x:v>
      </x:c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27" customHeight="1">
      <x:c r="A29" s="10" t="n">
        <x:v>24</x:v>
      </x:c>
      <x:c r="B29" s="10" t="str">
        <x:v>对越桥</x:v>
      </x:c>
      <x:c r="C29" s="10" t="str">
        <x:v>水岸与桥梁</x:v>
      </x:c>
      <x:c r="D29" s="10" t="n">
        <x:f>COUNTIF('笔记-地点明细'!$E$6:$E$88,B29)</x:f>
        <x:v>1</x:v>
      </x:c>
      <x:c r="E29" s="10" t="n">
        <x:v>1</x:v>
      </x:c>
      <x:c r="F29" s="12" t="n">
        <x:f>D29/'概览'!$B$7</x:f>
        <x:v>0.011627906976744186</x:v>
      </x:c>
      <x:c r="G29" s="12" t="n">
        <x:f>D29/'概览'!$B$6</x:f>
        <x:v>0.007462686567164179</x:v>
      </x:c>
      <x:c r="H29" s="10" t="str">
        <x:v>不可计算</x:v>
      </x:c>
      <x:c r="I29" s="10" t="str">
        <x:v>exact</x:v>
      </x:c>
      <x:c r="J29" s="10" t="str">
        <x:v>核验点位</x:v>
      </x:c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27" customHeight="1">
      <x:c r="A30" s="10" t="n">
        <x:v>25</x:v>
      </x:c>
      <x:c r="B30" s="10" t="str">
        <x:v>游船码头</x:v>
      </x:c>
      <x:c r="C30" s="10" t="str">
        <x:v>水岸与桥梁</x:v>
      </x:c>
      <x:c r="D30" s="10" t="n">
        <x:f>COUNTIF('笔记-地点明细'!$E$6:$E$88,B30)</x:f>
        <x:v>1</x:v>
      </x:c>
      <x:c r="E30" s="10" t="n">
        <x:v>1</x:v>
      </x:c>
      <x:c r="F30" s="12" t="n">
        <x:f>D30/'概览'!$B$7</x:f>
        <x:v>0.011627906976744186</x:v>
      </x:c>
      <x:c r="G30" s="12" t="n">
        <x:f>D30/'概览'!$B$6</x:f>
        <x:v>0.007462686567164179</x:v>
      </x:c>
      <x:c r="H30" s="10" t="str">
        <x:v>不可计算</x:v>
      </x:c>
      <x:c r="I30" s="10" t="str">
        <x:v>representative</x:v>
      </x:c>
      <x:c r="J30" s="10" t="str">
        <x:v>名称泛指，待现场核验</x:v>
      </x:c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27" customHeight="1">
      <x:c r="A31" s="10" t="n">
        <x:v>26</x:v>
      </x:c>
      <x:c r="B31" s="10" t="str">
        <x:v>翠竹亭</x:v>
      </x:c>
      <x:c r="C31" s="10" t="str">
        <x:v>地标与服务</x:v>
      </x:c>
      <x:c r="D31" s="10" t="n">
        <x:f>COUNTIF('笔记-地点明细'!$E$6:$E$88,B31)</x:f>
        <x:v>1</x:v>
      </x:c>
      <x:c r="E31" s="10" t="n">
        <x:v>1</x:v>
      </x:c>
      <x:c r="F31" s="12" t="n">
        <x:f>D31/'概览'!$B$7</x:f>
        <x:v>0.011627906976744186</x:v>
      </x:c>
      <x:c r="G31" s="12" t="n">
        <x:f>D31/'概览'!$B$6</x:f>
        <x:v>0.007462686567164179</x:v>
      </x:c>
      <x:c r="H31" s="10" t="str">
        <x:v>不可计算</x:v>
      </x:c>
      <x:c r="I31" s="10" t="str">
        <x:v>exact</x:v>
      </x:c>
      <x:c r="J31" s="10" t="str">
        <x:v>核验点位</x:v>
      </x:c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27" customHeight="1">
      <x:c r="A32" s="10" t="n">
        <x:v>27</x:v>
      </x:c>
      <x:c r="B32" s="10" t="str">
        <x:v>英王府</x:v>
      </x:c>
      <x:c r="C32" s="10" t="str">
        <x:v>名人故居与文化</x:v>
      </x:c>
      <x:c r="D32" s="10" t="n">
        <x:f>COUNTIF('笔记-地点明细'!$E$6:$E$88,B32)</x:f>
        <x:v>1</x:v>
      </x:c>
      <x:c r="E32" s="10" t="n">
        <x:v>1</x:v>
      </x:c>
      <x:c r="F32" s="12" t="n">
        <x:f>D32/'概览'!$B$7</x:f>
        <x:v>0.011627906976744186</x:v>
      </x:c>
      <x:c r="G32" s="12" t="n">
        <x:f>D32/'概览'!$B$6</x:f>
        <x:v>0.007462686567164179</x:v>
      </x:c>
      <x:c r="H32" s="10" t="str">
        <x:v>不可计算</x:v>
      </x:c>
      <x:c r="I32" s="10" t="str">
        <x:v>representative</x:v>
      </x:c>
      <x:c r="J32" s="10" t="str">
        <x:v>近似位置，待现场核验</x:v>
      </x:c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27" customHeight="1">
      <x:c r="A33" s="11" t="n">
        <x:v>28</x:v>
      </x:c>
      <x:c r="B33" s="11" t="str">
        <x:v>鹊渚桥码头</x:v>
      </x:c>
      <x:c r="C33" s="11" t="str">
        <x:v>水岸与桥梁</x:v>
      </x:c>
      <x:c r="D33" s="11" t="n">
        <x:f>COUNTIF('笔记-地点明细'!$E$6:$E$88,B33)</x:f>
        <x:v>1</x:v>
      </x:c>
      <x:c r="E33" s="11" t="n">
        <x:v>1</x:v>
      </x:c>
      <x:c r="F33" s="15" t="n">
        <x:f>D33/'概览'!$B$7</x:f>
        <x:v>0.011627906976744186</x:v>
      </x:c>
      <x:c r="G33" s="15" t="n">
        <x:f>D33/'概览'!$B$6</x:f>
        <x:v>0.007462686567164179</x:v>
      </x:c>
      <x:c r="H33" s="11" t="str">
        <x:v>不可计算</x:v>
      </x:c>
      <x:c r="I33" s="11" t="str">
        <x:v>representative</x:v>
      </x:c>
      <x:c r="J33" s="11" t="str">
        <x:v>廊桥附近代表点</x:v>
      </x:c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mergeCells>
    <x:mergeCell ref="A2:H2"/>
    <x:mergeCell ref="A3:H3"/>
  </x:mergeCells>
  <x:conditionalFormatting sqref="A6:J33">
    <x:cfRule type="expression" dxfId="2" priority="1">
      <x:formula>$I6="representative"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26" hidden="0" customWidth="1"/>
    <x:col min="3" max="3" width="42" hidden="0" customWidth="1"/>
    <x:col min="4" max="4" width="22" hidden="0" customWidth="1"/>
    <x:col min="5" max="5" width="22" hidden="0" customWidth="1"/>
    <x:col min="6" max="6" width="58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2" t="str">
        <x:v>笔记—地点明细</x:v>
      </x:c>
      <x:c r="B2" s="2"/>
      <x:c r="C2" s="2"/>
      <x:c r="D2" s="2"/>
      <x:c r="E2" s="2"/>
      <x:c r="F2" s="2"/>
      <x:c r="G2" s="2"/>
      <x:c r="H2" s="2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3" t="str">
        <x:v>共83条记录；同一篇笔记同一地点只保留一行。公开链接用于逐条复核，不代表当前页面永久可访问。</x:v>
      </x:c>
      <x:c r="B3" s="3"/>
      <x:c r="C3" s="3"/>
      <x:c r="D3" s="3"/>
      <x:c r="E3" s="3"/>
      <x:c r="F3" s="3"/>
      <x:c r="G3" s="3"/>
      <x:c r="H3" s="3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34" customHeight="1">
      <x:c r="A5" s="8" t="str">
        <x:v>序号</x:v>
      </x:c>
      <x:c r="B5" s="8" t="str">
        <x:v>note_id</x:v>
      </x:c>
      <x:c r="C5" s="8" t="str">
        <x:v>标题</x:v>
      </x:c>
      <x:c r="D5" s="8" t="str">
        <x:v>作者</x:v>
      </x:c>
      <x:c r="E5" s="8" t="str">
        <x:v>地点</x:v>
      </x:c>
      <x:c r="F5" s="8" t="str">
        <x:v>公开链接</x:v>
      </x:c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38" customHeight="1">
      <x:c r="A6" s="10" t="n">
        <x:v>1</x:v>
      </x:c>
      <x:c r="B6" s="10" t="str">
        <x:v>6a9fa955000000002603a383</x:v>
      </x:c>
      <x:c r="C6" s="13" t="str">
        <x:v>合肥自驾｜免费5A三河古镇太治愈✨</x:v>
      </x:c>
      <x:c r="D6" s="13" t="str">
        <x:v>老陈的理想生活</x:v>
      </x:c>
      <x:c r="E6" s="13" t="str">
        <x:v>一人巷</x:v>
      </x:c>
      <x:c r="F6" s="13" t="str">
        <x:v>https://www.xiaohongshu.com/explore/6a9fa955000000002603a383</x:v>
      </x:c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38" customHeight="1">
      <x:c r="A7" s="10" t="n">
        <x:v>2</x:v>
      </x:c>
      <x:c r="B7" s="10" t="str">
        <x:v>6a9fa955000000002603a383</x:v>
      </x:c>
      <x:c r="C7" s="13" t="str">
        <x:v>合肥自驾｜免费5A三河古镇太治愈✨</x:v>
      </x:c>
      <x:c r="D7" s="13" t="str">
        <x:v>老陈的理想生活</x:v>
      </x:c>
      <x:c r="E7" s="13" t="str">
        <x:v>三县桥</x:v>
      </x:c>
      <x:c r="F7" s="13" t="str">
        <x:v>https://www.xiaohongshu.com/explore/6a9fa955000000002603a383</x:v>
      </x:c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38" customHeight="1">
      <x:c r="A8" s="10" t="n">
        <x:v>3</x:v>
      </x:c>
      <x:c r="B8" s="10" t="str">
        <x:v>6a9fa955000000002603a383</x:v>
      </x:c>
      <x:c r="C8" s="13" t="str">
        <x:v>合肥自驾｜免费5A三河古镇太治愈✨</x:v>
      </x:c>
      <x:c r="D8" s="13" t="str">
        <x:v>老陈的理想生活</x:v>
      </x:c>
      <x:c r="E8" s="13" t="str">
        <x:v>仙归桥</x:v>
      </x:c>
      <x:c r="F8" s="13" t="str">
        <x:v>https://www.xiaohongshu.com/explore/6a9fa955000000002603a383</x:v>
      </x:c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38" customHeight="1">
      <x:c r="A9" s="10" t="n">
        <x:v>4</x:v>
      </x:c>
      <x:c r="B9" s="10" t="str">
        <x:v>6a9fa955000000002603a383</x:v>
      </x:c>
      <x:c r="C9" s="13" t="str">
        <x:v>合肥自驾｜免费5A三河古镇太治愈✨</x:v>
      </x:c>
      <x:c r="D9" s="13" t="str">
        <x:v>老陈的理想生活</x:v>
      </x:c>
      <x:c r="E9" s="13" t="str">
        <x:v>古西街</x:v>
      </x:c>
      <x:c r="F9" s="13" t="str">
        <x:v>https://www.xiaohongshu.com/explore/6a9fa955000000002603a383</x:v>
      </x:c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38" customHeight="1">
      <x:c r="A10" s="10" t="n">
        <x:v>5</x:v>
      </x:c>
      <x:c r="B10" s="10" t="str">
        <x:v>6a9fa955000000002603a383</x:v>
      </x:c>
      <x:c r="C10" s="13" t="str">
        <x:v>合肥自驾｜免费5A三河古镇太治愈✨</x:v>
      </x:c>
      <x:c r="D10" s="13" t="str">
        <x:v>老陈的理想生活</x:v>
      </x:c>
      <x:c r="E10" s="13" t="str">
        <x:v>小南河</x:v>
      </x:c>
      <x:c r="F10" s="13" t="str">
        <x:v>https://www.xiaohongshu.com/explore/6a9fa955000000002603a383</x:v>
      </x:c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38" customHeight="1">
      <x:c r="A11" s="10" t="n">
        <x:v>6</x:v>
      </x:c>
      <x:c r="B11" s="10" t="str">
        <x:v>6a9fa955000000002603a383</x:v>
      </x:c>
      <x:c r="C11" s="13" t="str">
        <x:v>合肥自驾｜免费5A三河古镇太治愈✨</x:v>
      </x:c>
      <x:c r="D11" s="13" t="str">
        <x:v>老陈的理想生活</x:v>
      </x:c>
      <x:c r="E11" s="13" t="str">
        <x:v>杨振宁旧居</x:v>
      </x:c>
      <x:c r="F11" s="13" t="str">
        <x:v>https://www.xiaohongshu.com/explore/6a9fa955000000002603a383</x:v>
      </x:c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38" customHeight="1">
      <x:c r="A12" s="10" t="n">
        <x:v>7</x:v>
      </x:c>
      <x:c r="B12" s="10" t="str">
        <x:v>6a7c0b410000000025007c3d</x:v>
      </x:c>
      <x:c r="C12" s="13" t="str">
        <x:v>三河古镇|被忽略的徽派水乡随拍成电影画面</x:v>
      </x:c>
      <x:c r="D12" s="13" t="str">
        <x:v>Lyon的电影客厅</x:v>
      </x:c>
      <x:c r="E12" s="13" t="str">
        <x:v>小南河</x:v>
      </x:c>
      <x:c r="F12" s="13" t="str">
        <x:v>https://www.xiaohongshu.com/explore/6a7c0b410000000025007c3d</x:v>
      </x:c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38" customHeight="1">
      <x:c r="A13" s="10" t="n">
        <x:v>8</x:v>
      </x:c>
      <x:c r="B13" s="10" t="str">
        <x:v>6a7c0b410000000025007c3d</x:v>
      </x:c>
      <x:c r="C13" s="13" t="str">
        <x:v>三河古镇|被忽略的徽派水乡随拍成电影画面</x:v>
      </x:c>
      <x:c r="D13" s="13" t="str">
        <x:v>Lyon的电影客厅</x:v>
      </x:c>
      <x:c r="E13" s="13" t="str">
        <x:v>望月阁</x:v>
      </x:c>
      <x:c r="F13" s="13" t="str">
        <x:v>https://www.xiaohongshu.com/explore/6a7c0b410000000025007c3d</x:v>
      </x:c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38" customHeight="1">
      <x:c r="A14" s="10" t="n">
        <x:v>9</x:v>
      </x:c>
      <x:c r="B14" s="10" t="str">
        <x:v>6a7c0b410000000025007c3d</x:v>
      </x:c>
      <x:c r="C14" s="13" t="str">
        <x:v>三河古镇|被忽略的徽派水乡随拍成电影画面</x:v>
      </x:c>
      <x:c r="D14" s="13" t="str">
        <x:v>Lyon的电影客厅</x:v>
      </x:c>
      <x:c r="E14" s="13" t="str">
        <x:v>杨振宁旧居</x:v>
      </x:c>
      <x:c r="F14" s="13" t="str">
        <x:v>https://www.xiaohongshu.com/explore/6a7c0b410000000025007c3d</x:v>
      </x:c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38" customHeight="1">
      <x:c r="A15" s="10" t="n">
        <x:v>10</x:v>
      </x:c>
      <x:c r="B15" s="10" t="str">
        <x:v>6a7c0b410000000025007c3d</x:v>
      </x:c>
      <x:c r="C15" s="13" t="str">
        <x:v>三河古镇|被忽略的徽派水乡随拍成电影画面</x:v>
      </x:c>
      <x:c r="D15" s="13" t="str">
        <x:v>Lyon的电影客厅</x:v>
      </x:c>
      <x:c r="E15" s="13" t="str">
        <x:v>董寅初纪念馆</x:v>
      </x:c>
      <x:c r="F15" s="13" t="str">
        <x:v>https://www.xiaohongshu.com/explore/6a7c0b410000000025007c3d</x:v>
      </x:c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38" customHeight="1">
      <x:c r="A16" s="10" t="n">
        <x:v>11</x:v>
      </x:c>
      <x:c r="B16" s="10" t="str">
        <x:v>69ef5a150000000023005dd7</x:v>
      </x:c>
      <x:c r="C16" s="13" t="str">
        <x:v>三河古镇一日游|上过春晚的免费5A景区</x:v>
      </x:c>
      <x:c r="D16" s="13" t="str">
        <x:v>巧克力去哪了</x:v>
      </x:c>
      <x:c r="E16" s="13" t="str">
        <x:v>万年台</x:v>
      </x:c>
      <x:c r="F16" s="13" t="str">
        <x:v>https://www.xiaohongshu.com/explore/69ef5a150000000023005dd7</x:v>
      </x:c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38" customHeight="1">
      <x:c r="A17" s="10" t="n">
        <x:v>12</x:v>
      </x:c>
      <x:c r="B17" s="10" t="str">
        <x:v>69ef5a150000000023005dd7</x:v>
      </x:c>
      <x:c r="C17" s="13" t="str">
        <x:v>三河古镇一日游|上过春晚的免费5A景区</x:v>
      </x:c>
      <x:c r="D17" s="13" t="str">
        <x:v>巧克力去哪了</x:v>
      </x:c>
      <x:c r="E17" s="13" t="str">
        <x:v>万年禅寺</x:v>
      </x:c>
      <x:c r="F17" s="13" t="str">
        <x:v>https://www.xiaohongshu.com/explore/69ef5a150000000023005dd7</x:v>
      </x:c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38" customHeight="1">
      <x:c r="A18" s="10" t="n">
        <x:v>13</x:v>
      </x:c>
      <x:c r="B18" s="10" t="str">
        <x:v>69ef5a150000000023005dd7</x:v>
      </x:c>
      <x:c r="C18" s="13" t="str">
        <x:v>三河古镇一日游|上过春晚的免费5A景区</x:v>
      </x:c>
      <x:c r="D18" s="13" t="str">
        <x:v>巧克力去哪了</x:v>
      </x:c>
      <x:c r="E18" s="13" t="str">
        <x:v>三县桥</x:v>
      </x:c>
      <x:c r="F18" s="13" t="str">
        <x:v>https://www.xiaohongshu.com/explore/69ef5a150000000023005dd7</x:v>
      </x:c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38" customHeight="1">
      <x:c r="A19" s="10" t="n">
        <x:v>14</x:v>
      </x:c>
      <x:c r="B19" s="10" t="str">
        <x:v>69ef5a150000000023005dd7</x:v>
      </x:c>
      <x:c r="C19" s="13" t="str">
        <x:v>三河古镇一日游|上过春晚的免费5A景区</x:v>
      </x:c>
      <x:c r="D19" s="13" t="str">
        <x:v>巧克力去哪了</x:v>
      </x:c>
      <x:c r="E19" s="13" t="str">
        <x:v>二龙桥</x:v>
      </x:c>
      <x:c r="F19" s="13" t="str">
        <x:v>https://www.xiaohongshu.com/explore/69ef5a150000000023005dd7</x:v>
      </x:c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38" customHeight="1">
      <x:c r="A20" s="10" t="n">
        <x:v>15</x:v>
      </x:c>
      <x:c r="B20" s="10" t="str">
        <x:v>69ef5a150000000023005dd7</x:v>
      </x:c>
      <x:c r="C20" s="13" t="str">
        <x:v>三河古镇一日游|上过春晚的免费5A景区</x:v>
      </x:c>
      <x:c r="D20" s="13" t="str">
        <x:v>巧克力去哪了</x:v>
      </x:c>
      <x:c r="E20" s="13" t="str">
        <x:v>仙姑楼</x:v>
      </x:c>
      <x:c r="F20" s="13" t="str">
        <x:v>https://www.xiaohongshu.com/explore/69ef5a150000000023005dd7</x:v>
      </x:c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38" customHeight="1">
      <x:c r="A21" s="10" t="n">
        <x:v>16</x:v>
      </x:c>
      <x:c r="B21" s="10" t="str">
        <x:v>69ef5a150000000023005dd7</x:v>
      </x:c>
      <x:c r="C21" s="13" t="str">
        <x:v>三河古镇一日游|上过春晚的免费5A景区</x:v>
      </x:c>
      <x:c r="D21" s="13" t="str">
        <x:v>巧克力去哪了</x:v>
      </x:c>
      <x:c r="E21" s="13" t="str">
        <x:v>仙归桥</x:v>
      </x:c>
      <x:c r="F21" s="13" t="str">
        <x:v>https://www.xiaohongshu.com/explore/69ef5a150000000023005dd7</x:v>
      </x:c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38" customHeight="1">
      <x:c r="A22" s="10" t="n">
        <x:v>17</x:v>
      </x:c>
      <x:c r="B22" s="10" t="str">
        <x:v>69ef5a150000000023005dd7</x:v>
      </x:c>
      <x:c r="C22" s="13" t="str">
        <x:v>三河古镇一日游|上过春晚的免费5A景区</x:v>
      </x:c>
      <x:c r="D22" s="13" t="str">
        <x:v>巧克力去哪了</x:v>
      </x:c>
      <x:c r="E22" s="13" t="str">
        <x:v>刘同兴隆庄</x:v>
      </x:c>
      <x:c r="F22" s="13" t="str">
        <x:v>https://www.xiaohongshu.com/explore/69ef5a150000000023005dd7</x:v>
      </x:c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38" customHeight="1">
      <x:c r="A23" s="10" t="n">
        <x:v>18</x:v>
      </x:c>
      <x:c r="B23" s="10" t="str">
        <x:v>69ef5a150000000023005dd7</x:v>
      </x:c>
      <x:c r="C23" s="13" t="str">
        <x:v>三河古镇一日游|上过春晚的免费5A景区</x:v>
      </x:c>
      <x:c r="D23" s="13" t="str">
        <x:v>巧克力去哪了</x:v>
      </x:c>
      <x:c r="E23" s="13" t="str">
        <x:v>古西街</x:v>
      </x:c>
      <x:c r="F23" s="13" t="str">
        <x:v>https://www.xiaohongshu.com/explore/69ef5a150000000023005dd7</x:v>
      </x:c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38" customHeight="1">
      <x:c r="A24" s="10" t="n">
        <x:v>19</x:v>
      </x:c>
      <x:c r="B24" s="10" t="str">
        <x:v>69ef5a150000000023005dd7</x:v>
      </x:c>
      <x:c r="C24" s="13" t="str">
        <x:v>三河古镇一日游|上过春晚的免费5A景区</x:v>
      </x:c>
      <x:c r="D24" s="13" t="str">
        <x:v>巧克力去哪了</x:v>
      </x:c>
      <x:c r="E24" s="13" t="str">
        <x:v>合众巷</x:v>
      </x:c>
      <x:c r="F24" s="13" t="str">
        <x:v>https://www.xiaohongshu.com/explore/69ef5a150000000023005dd7</x:v>
      </x:c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38" customHeight="1">
      <x:c r="A25" s="10" t="n">
        <x:v>20</x:v>
      </x:c>
      <x:c r="B25" s="10" t="str">
        <x:v>69ef5a150000000023005dd7</x:v>
      </x:c>
      <x:c r="C25" s="13" t="str">
        <x:v>三河古镇一日游|上过春晚的免费5A景区</x:v>
      </x:c>
      <x:c r="D25" s="13" t="str">
        <x:v>巧克力去哪了</x:v>
      </x:c>
      <x:c r="E25" s="13" t="str">
        <x:v>城隍庙</x:v>
      </x:c>
      <x:c r="F25" s="13" t="str">
        <x:v>https://www.xiaohongshu.com/explore/69ef5a150000000023005dd7</x:v>
      </x:c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38" customHeight="1">
      <x:c r="A26" s="10" t="n">
        <x:v>21</x:v>
      </x:c>
      <x:c r="B26" s="10" t="str">
        <x:v>69ef5a150000000023005dd7</x:v>
      </x:c>
      <x:c r="C26" s="13" t="str">
        <x:v>三河古镇一日游|上过春晚的免费5A景区</x:v>
      </x:c>
      <x:c r="D26" s="13" t="str">
        <x:v>巧克力去哪了</x:v>
      </x:c>
      <x:c r="E26" s="13" t="str">
        <x:v>孙立人故居</x:v>
      </x:c>
      <x:c r="F26" s="13" t="str">
        <x:v>https://www.xiaohongshu.com/explore/69ef5a150000000023005dd7</x:v>
      </x:c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38" customHeight="1">
      <x:c r="A27" s="10" t="n">
        <x:v>22</x:v>
      </x:c>
      <x:c r="B27" s="10" t="str">
        <x:v>69ef5a150000000023005dd7</x:v>
      </x:c>
      <x:c r="C27" s="13" t="str">
        <x:v>三河古镇一日游|上过春晚的免费5A景区</x:v>
      </x:c>
      <x:c r="D27" s="13" t="str">
        <x:v>巧克力去哪了</x:v>
      </x:c>
      <x:c r="E27" s="13" t="str">
        <x:v>望月桥</x:v>
      </x:c>
      <x:c r="F27" s="13" t="str">
        <x:v>https://www.xiaohongshu.com/explore/69ef5a150000000023005dd7</x:v>
      </x:c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38" customHeight="1">
      <x:c r="A28" s="10" t="n">
        <x:v>23</x:v>
      </x:c>
      <x:c r="B28" s="10" t="str">
        <x:v>69ef5a150000000023005dd7</x:v>
      </x:c>
      <x:c r="C28" s="13" t="str">
        <x:v>三河古镇一日游|上过春晚的免费5A景区</x:v>
      </x:c>
      <x:c r="D28" s="13" t="str">
        <x:v>巧克力去哪了</x:v>
      </x:c>
      <x:c r="E28" s="13" t="str">
        <x:v>望月阁</x:v>
      </x:c>
      <x:c r="F28" s="13" t="str">
        <x:v>https://www.xiaohongshu.com/explore/69ef5a150000000023005dd7</x:v>
      </x:c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38" customHeight="1">
      <x:c r="A29" s="10" t="n">
        <x:v>24</x:v>
      </x:c>
      <x:c r="B29" s="10" t="str">
        <x:v>69ef5a150000000023005dd7</x:v>
      </x:c>
      <x:c r="C29" s="13" t="str">
        <x:v>三河古镇一日游|上过春晚的免费5A景区</x:v>
      </x:c>
      <x:c r="D29" s="13" t="str">
        <x:v>巧克力去哪了</x:v>
      </x:c>
      <x:c r="E29" s="13" t="str">
        <x:v>杨振宁旧居</x:v>
      </x:c>
      <x:c r="F29" s="13" t="str">
        <x:v>https://www.xiaohongshu.com/explore/69ef5a150000000023005dd7</x:v>
      </x:c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38" customHeight="1">
      <x:c r="A30" s="10" t="n">
        <x:v>25</x:v>
      </x:c>
      <x:c r="B30" s="10" t="str">
        <x:v>69ef5a150000000023005dd7</x:v>
      </x:c>
      <x:c r="C30" s="13" t="str">
        <x:v>三河古镇一日游|上过春晚的免费5A景区</x:v>
      </x:c>
      <x:c r="D30" s="13" t="str">
        <x:v>巧克力去哪了</x:v>
      </x:c>
      <x:c r="E30" s="13" t="str">
        <x:v>游客中心</x:v>
      </x:c>
      <x:c r="F30" s="13" t="str">
        <x:v>https://www.xiaohongshu.com/explore/69ef5a150000000023005dd7</x:v>
      </x:c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38" customHeight="1">
      <x:c r="A31" s="10" t="n">
        <x:v>26</x:v>
      </x:c>
      <x:c r="B31" s="10" t="str">
        <x:v>69ef5a150000000023005dd7</x:v>
      </x:c>
      <x:c r="C31" s="13" t="str">
        <x:v>三河古镇一日游|上过春晚的免费5A景区</x:v>
      </x:c>
      <x:c r="D31" s="13" t="str">
        <x:v>巧克力去哪了</x:v>
      </x:c>
      <x:c r="E31" s="13" t="str">
        <x:v>英王府</x:v>
      </x:c>
      <x:c r="F31" s="13" t="str">
        <x:v>https://www.xiaohongshu.com/explore/69ef5a150000000023005dd7</x:v>
      </x:c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38" customHeight="1">
      <x:c r="A32" s="10" t="n">
        <x:v>27</x:v>
      </x:c>
      <x:c r="B32" s="10" t="str">
        <x:v>69ef5a150000000023005dd7</x:v>
      </x:c>
      <x:c r="C32" s="13" t="str">
        <x:v>三河古镇一日游|上过春晚的免费5A景区</x:v>
      </x:c>
      <x:c r="D32" s="13" t="str">
        <x:v>巧克力去哪了</x:v>
      </x:c>
      <x:c r="E32" s="13" t="str">
        <x:v>董寅初纪念馆</x:v>
      </x:c>
      <x:c r="F32" s="13" t="str">
        <x:v>https://www.xiaohongshu.com/explore/69ef5a150000000023005dd7</x:v>
      </x:c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38" customHeight="1">
      <x:c r="A33" s="10" t="n">
        <x:v>28</x:v>
      </x:c>
      <x:c r="B33" s="10" t="str">
        <x:v>69ef5a150000000023005dd7</x:v>
      </x:c>
      <x:c r="C33" s="13" t="str">
        <x:v>三河古镇一日游|上过春晚的免费5A景区</x:v>
      </x:c>
      <x:c r="D33" s="13" t="str">
        <x:v>巧克力去哪了</x:v>
      </x:c>
      <x:c r="E33" s="13" t="str">
        <x:v>鹤庐</x:v>
      </x:c>
      <x:c r="F33" s="13" t="str">
        <x:v>https://www.xiaohongshu.com/explore/69ef5a150000000023005dd7</x:v>
      </x:c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 ht="38" customHeight="1">
      <x:c r="A34" s="10" t="n">
        <x:v>29</x:v>
      </x:c>
      <x:c r="B34" s="10" t="str">
        <x:v>6a3a86490000000007029994</x:v>
      </x:c>
      <x:c r="C34" s="13" t="str">
        <x:v>三河古镇｜经典一日游路线✨不绕路超省心‼️</x:v>
      </x:c>
      <x:c r="D34" s="13" t="str">
        <x:v>芥末上了头</x:v>
      </x:c>
      <x:c r="E34" s="13" t="str">
        <x:v>万年禅寺</x:v>
      </x:c>
      <x:c r="F34" s="13" t="str">
        <x:v>https://www.xiaohongshu.com/explore/6a3a86490000000007029994</x:v>
      </x:c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 ht="38" customHeight="1">
      <x:c r="A35" s="10" t="n">
        <x:v>30</x:v>
      </x:c>
      <x:c r="B35" s="10" t="str">
        <x:v>6a3a86490000000007029994</x:v>
      </x:c>
      <x:c r="C35" s="13" t="str">
        <x:v>三河古镇｜经典一日游路线✨不绕路超省心‼️</x:v>
      </x:c>
      <x:c r="D35" s="13" t="str">
        <x:v>芥末上了头</x:v>
      </x:c>
      <x:c r="E35" s="13" t="str">
        <x:v>仙姑楼</x:v>
      </x:c>
      <x:c r="F35" s="13" t="str">
        <x:v>https://www.xiaohongshu.com/explore/6a3a86490000000007029994</x:v>
      </x:c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 ht="38" customHeight="1">
      <x:c r="A36" s="10" t="n">
        <x:v>31</x:v>
      </x:c>
      <x:c r="B36" s="10" t="str">
        <x:v>6a3a86490000000007029994</x:v>
      </x:c>
      <x:c r="C36" s="13" t="str">
        <x:v>三河古镇｜经典一日游路线✨不绕路超省心‼️</x:v>
      </x:c>
      <x:c r="D36" s="13" t="str">
        <x:v>芥末上了头</x:v>
      </x:c>
      <x:c r="E36" s="13" t="str">
        <x:v>刘同兴隆庄</x:v>
      </x:c>
      <x:c r="F36" s="13" t="str">
        <x:v>https://www.xiaohongshu.com/explore/6a3a86490000000007029994</x:v>
      </x:c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 ht="38" customHeight="1">
      <x:c r="A37" s="10" t="n">
        <x:v>32</x:v>
      </x:c>
      <x:c r="B37" s="10" t="str">
        <x:v>6a3a86490000000007029994</x:v>
      </x:c>
      <x:c r="C37" s="13" t="str">
        <x:v>三河古镇｜经典一日游路线✨不绕路超省心‼️</x:v>
      </x:c>
      <x:c r="D37" s="13" t="str">
        <x:v>芥末上了头</x:v>
      </x:c>
      <x:c r="E37" s="13" t="str">
        <x:v>古西街</x:v>
      </x:c>
      <x:c r="F37" s="13" t="str">
        <x:v>https://www.xiaohongshu.com/explore/6a3a86490000000007029994</x:v>
      </x:c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 ht="38" customHeight="1">
      <x:c r="A38" s="10" t="n">
        <x:v>33</x:v>
      </x:c>
      <x:c r="B38" s="10" t="str">
        <x:v>6a3a86490000000007029994</x:v>
      </x:c>
      <x:c r="C38" s="13" t="str">
        <x:v>三河古镇｜经典一日游路线✨不绕路超省心‼️</x:v>
      </x:c>
      <x:c r="D38" s="13" t="str">
        <x:v>芥末上了头</x:v>
      </x:c>
      <x:c r="E38" s="13" t="str">
        <x:v>小南河</x:v>
      </x:c>
      <x:c r="F38" s="13" t="str">
        <x:v>https://www.xiaohongshu.com/explore/6a3a86490000000007029994</x:v>
      </x:c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 ht="38" customHeight="1">
      <x:c r="A39" s="10" t="n">
        <x:v>34</x:v>
      </x:c>
      <x:c r="B39" s="10" t="str">
        <x:v>6a3a86490000000007029994</x:v>
      </x:c>
      <x:c r="C39" s="13" t="str">
        <x:v>三河古镇｜经典一日游路线✨不绕路超省心‼️</x:v>
      </x:c>
      <x:c r="D39" s="13" t="str">
        <x:v>芥末上了头</x:v>
      </x:c>
      <x:c r="E39" s="13" t="str">
        <x:v>望月阁</x:v>
      </x:c>
      <x:c r="F39" s="13" t="str">
        <x:v>https://www.xiaohongshu.com/explore/6a3a86490000000007029994</x:v>
      </x:c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 ht="38" customHeight="1">
      <x:c r="A40" s="10" t="n">
        <x:v>35</x:v>
      </x:c>
      <x:c r="B40" s="10" t="str">
        <x:v>6a3a86490000000007029994</x:v>
      </x:c>
      <x:c r="C40" s="13" t="str">
        <x:v>三河古镇｜经典一日游路线✨不绕路超省心‼️</x:v>
      </x:c>
      <x:c r="D40" s="13" t="str">
        <x:v>芥末上了头</x:v>
      </x:c>
      <x:c r="E40" s="13" t="str">
        <x:v>杨振宁旧居</x:v>
      </x:c>
      <x:c r="F40" s="13" t="str">
        <x:v>https://www.xiaohongshu.com/explore/6a3a86490000000007029994</x:v>
      </x:c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 ht="38" customHeight="1">
      <x:c r="A41" s="10" t="n">
        <x:v>36</x:v>
      </x:c>
      <x:c r="B41" s="10" t="str">
        <x:v>6a3a86490000000007029994</x:v>
      </x:c>
      <x:c r="C41" s="13" t="str">
        <x:v>三河古镇｜经典一日游路线✨不绕路超省心‼️</x:v>
      </x:c>
      <x:c r="D41" s="13" t="str">
        <x:v>芥末上了头</x:v>
      </x:c>
      <x:c r="E41" s="13" t="str">
        <x:v>游客中心</x:v>
      </x:c>
      <x:c r="F41" s="13" t="str">
        <x:v>https://www.xiaohongshu.com/explore/6a3a86490000000007029994</x:v>
      </x:c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 ht="38" customHeight="1">
      <x:c r="A42" s="10" t="n">
        <x:v>37</x:v>
      </x:c>
      <x:c r="B42" s="10" t="str">
        <x:v>6a3a86490000000007029994</x:v>
      </x:c>
      <x:c r="C42" s="13" t="str">
        <x:v>三河古镇｜经典一日游路线✨不绕路超省心‼️</x:v>
      </x:c>
      <x:c r="D42" s="13" t="str">
        <x:v>芥末上了头</x:v>
      </x:c>
      <x:c r="E42" s="13" t="str">
        <x:v>鹊渚廊桥</x:v>
      </x:c>
      <x:c r="F42" s="13" t="str">
        <x:v>https://www.xiaohongshu.com/explore/6a3a86490000000007029994</x:v>
      </x:c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 ht="38" customHeight="1">
      <x:c r="A43" s="10" t="n">
        <x:v>38</x:v>
      </x:c>
      <x:c r="B43" s="10" t="str">
        <x:v>69f5af9d0000000035033d49</x:v>
      </x:c>
      <x:c r="C43" s="13" t="str">
        <x:v>终于遇到一个审美在线、不商业化的古镇了</x:v>
      </x:c>
      <x:c r="D43" s="13" t="str">
        <x:v>Paper喝咖啡</x:v>
      </x:c>
      <x:c r="E43" s="13" t="str">
        <x:v>游船码头</x:v>
      </x:c>
      <x:c r="F43" s="13" t="str">
        <x:v>https://www.xiaohongshu.com/explore/69f5af9d0000000035033d49</x:v>
      </x:c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 ht="38" customHeight="1">
      <x:c r="A44" s="10" t="n">
        <x:v>39</x:v>
      </x:c>
      <x:c r="B44" s="10" t="str">
        <x:v>69b03c6b00000000260321fd</x:v>
      </x:c>
      <x:c r="C44" s="13" t="str">
        <x:v>三河古镇｜藏在合肥的江南慢时光✨</x:v>
      </x:c>
      <x:c r="D44" s="13" t="str">
        <x:v>昕七天</x:v>
      </x:c>
      <x:c r="E44" s="13" t="str">
        <x:v>一人巷</x:v>
      </x:c>
      <x:c r="F44" s="13" t="str">
        <x:v>https://www.xiaohongshu.com/explore/69b03c6b00000000260321fd</x:v>
      </x:c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 ht="38" customHeight="1">
      <x:c r="A45" s="10" t="n">
        <x:v>40</x:v>
      </x:c>
      <x:c r="B45" s="10" t="str">
        <x:v>69b03c6b00000000260321fd</x:v>
      </x:c>
      <x:c r="C45" s="13" t="str">
        <x:v>三河古镇｜藏在合肥的江南慢时光✨</x:v>
      </x:c>
      <x:c r="D45" s="13" t="str">
        <x:v>昕七天</x:v>
      </x:c>
      <x:c r="E45" s="13" t="str">
        <x:v>三县桥</x:v>
      </x:c>
      <x:c r="F45" s="13" t="str">
        <x:v>https://www.xiaohongshu.com/explore/69b03c6b00000000260321fd</x:v>
      </x:c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 ht="38" customHeight="1">
      <x:c r="A46" s="10" t="n">
        <x:v>41</x:v>
      </x:c>
      <x:c r="B46" s="10" t="str">
        <x:v>69b03c6b00000000260321fd</x:v>
      </x:c>
      <x:c r="C46" s="13" t="str">
        <x:v>三河古镇｜藏在合肥的江南慢时光✨</x:v>
      </x:c>
      <x:c r="D46" s="13" t="str">
        <x:v>昕七天</x:v>
      </x:c>
      <x:c r="E46" s="13" t="str">
        <x:v>刘同兴隆庄</x:v>
      </x:c>
      <x:c r="F46" s="13" t="str">
        <x:v>https://www.xiaohongshu.com/explore/69b03c6b00000000260321fd</x:v>
      </x:c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 ht="38" customHeight="1">
      <x:c r="A47" s="10" t="n">
        <x:v>42</x:v>
      </x:c>
      <x:c r="B47" s="10" t="str">
        <x:v>69b03c6b00000000260321fd</x:v>
      </x:c>
      <x:c r="C47" s="13" t="str">
        <x:v>三河古镇｜藏在合肥的江南慢时光✨</x:v>
      </x:c>
      <x:c r="D47" s="13" t="str">
        <x:v>昕七天</x:v>
      </x:c>
      <x:c r="E47" s="13" t="str">
        <x:v>小南河</x:v>
      </x:c>
      <x:c r="F47" s="13" t="str">
        <x:v>https://www.xiaohongshu.com/explore/69b03c6b00000000260321fd</x:v>
      </x:c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 ht="38" customHeight="1">
      <x:c r="A48" s="10" t="n">
        <x:v>43</x:v>
      </x:c>
      <x:c r="B48" s="10" t="str">
        <x:v>69b03c6b00000000260321fd</x:v>
      </x:c>
      <x:c r="C48" s="13" t="str">
        <x:v>三河古镇｜藏在合肥的江南慢时光✨</x:v>
      </x:c>
      <x:c r="D48" s="13" t="str">
        <x:v>昕七天</x:v>
      </x:c>
      <x:c r="E48" s="13" t="str">
        <x:v>望月阁</x:v>
      </x:c>
      <x:c r="F48" s="13" t="str">
        <x:v>https://www.xiaohongshu.com/explore/69b03c6b00000000260321fd</x:v>
      </x:c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 ht="38" customHeight="1">
      <x:c r="A49" s="10" t="n">
        <x:v>44</x:v>
      </x:c>
      <x:c r="B49" s="10" t="str">
        <x:v>69b03c6b00000000260321fd</x:v>
      </x:c>
      <x:c r="C49" s="13" t="str">
        <x:v>三河古镇｜藏在合肥的江南慢时光✨</x:v>
      </x:c>
      <x:c r="D49" s="13" t="str">
        <x:v>昕七天</x:v>
      </x:c>
      <x:c r="E49" s="13" t="str">
        <x:v>杨振宁旧居</x:v>
      </x:c>
      <x:c r="F49" s="13" t="str">
        <x:v>https://www.xiaohongshu.com/explore/69b03c6b00000000260321fd</x:v>
      </x:c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 ht="38" customHeight="1">
      <x:c r="A50" s="10" t="n">
        <x:v>45</x:v>
      </x:c>
      <x:c r="B50" s="10" t="str">
        <x:v>69b03c6b00000000260321fd</x:v>
      </x:c>
      <x:c r="C50" s="13" t="str">
        <x:v>三河古镇｜藏在合肥的江南慢时光✨</x:v>
      </x:c>
      <x:c r="D50" s="13" t="str">
        <x:v>昕七天</x:v>
      </x:c>
      <x:c r="E50" s="13" t="str">
        <x:v>鹊渚廊桥</x:v>
      </x:c>
      <x:c r="F50" s="13" t="str">
        <x:v>https://www.xiaohongshu.com/explore/69b03c6b00000000260321fd</x:v>
      </x:c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 ht="38" customHeight="1">
      <x:c r="A51" s="10" t="n">
        <x:v>46</x:v>
      </x:c>
      <x:c r="B51" s="10" t="str">
        <x:v>69b03c6b00000000260321fd</x:v>
      </x:c>
      <x:c r="C51" s="13" t="str">
        <x:v>三河古镇｜藏在合肥的江南慢时光✨</x:v>
      </x:c>
      <x:c r="D51" s="13" t="str">
        <x:v>昕七天</x:v>
      </x:c>
      <x:c r="E51" s="13" t="str">
        <x:v>鹤庐</x:v>
      </x:c>
      <x:c r="F51" s="13" t="str">
        <x:v>https://www.xiaohongshu.com/explore/69b03c6b00000000260321fd</x:v>
      </x:c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 ht="38" customHeight="1">
      <x:c r="A52" s="10" t="n">
        <x:v>47</x:v>
      </x:c>
      <x:c r="B52" s="10" t="str">
        <x:v>6a6aa6600000000013025cfc</x:v>
      </x:c>
      <x:c r="C52" s="13" t="str">
        <x:v>三河古镇极简攻略｜合肥周边一日游</x:v>
      </x:c>
      <x:c r="D52" s="13" t="str">
        <x:v>michill～</x:v>
      </x:c>
      <x:c r="E52" s="13" t="str">
        <x:v>一人巷</x:v>
      </x:c>
      <x:c r="F52" s="13" t="str">
        <x:v>https://www.xiaohongshu.com/explore/6a6aa6600000000013025cfc</x:v>
      </x:c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 ht="38" customHeight="1">
      <x:c r="A53" s="10" t="n">
        <x:v>48</x:v>
      </x:c>
      <x:c r="B53" s="10" t="str">
        <x:v>6a6aa6600000000013025cfc</x:v>
      </x:c>
      <x:c r="C53" s="13" t="str">
        <x:v>三河古镇极简攻略｜合肥周边一日游</x:v>
      </x:c>
      <x:c r="D53" s="13" t="str">
        <x:v>michill～</x:v>
      </x:c>
      <x:c r="E53" s="13" t="str">
        <x:v>万年台</x:v>
      </x:c>
      <x:c r="F53" s="13" t="str">
        <x:v>https://www.xiaohongshu.com/explore/6a6aa6600000000013025cfc</x:v>
      </x:c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 ht="38" customHeight="1">
      <x:c r="A54" s="10" t="n">
        <x:v>49</x:v>
      </x:c>
      <x:c r="B54" s="10" t="str">
        <x:v>6a6aa6600000000013025cfc</x:v>
      </x:c>
      <x:c r="C54" s="13" t="str">
        <x:v>三河古镇极简攻略｜合肥周边一日游</x:v>
      </x:c>
      <x:c r="D54" s="13" t="str">
        <x:v>michill～</x:v>
      </x:c>
      <x:c r="E54" s="13" t="str">
        <x:v>三县桥</x:v>
      </x:c>
      <x:c r="F54" s="13" t="str">
        <x:v>https://www.xiaohongshu.com/explore/6a6aa6600000000013025cfc</x:v>
      </x:c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 ht="38" customHeight="1">
      <x:c r="A55" s="10" t="n">
        <x:v>50</x:v>
      </x:c>
      <x:c r="B55" s="10" t="str">
        <x:v>6a6aa6600000000013025cfc</x:v>
      </x:c>
      <x:c r="C55" s="13" t="str">
        <x:v>三河古镇极简攻略｜合肥周边一日游</x:v>
      </x:c>
      <x:c r="D55" s="13" t="str">
        <x:v>michill～</x:v>
      </x:c>
      <x:c r="E55" s="13" t="str">
        <x:v>刘同兴隆庄</x:v>
      </x:c>
      <x:c r="F55" s="13" t="str">
        <x:v>https://www.xiaohongshu.com/explore/6a6aa6600000000013025cfc</x:v>
      </x:c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 ht="38" customHeight="1">
      <x:c r="A56" s="10" t="n">
        <x:v>51</x:v>
      </x:c>
      <x:c r="B56" s="10" t="str">
        <x:v>6a6aa6600000000013025cfc</x:v>
      </x:c>
      <x:c r="C56" s="13" t="str">
        <x:v>三河古镇极简攻略｜合肥周边一日游</x:v>
      </x:c>
      <x:c r="D56" s="13" t="str">
        <x:v>michill～</x:v>
      </x:c>
      <x:c r="E56" s="13" t="str">
        <x:v>大捷门</x:v>
      </x:c>
      <x:c r="F56" s="13" t="str">
        <x:v>https://www.xiaohongshu.com/explore/6a6aa6600000000013025cfc</x:v>
      </x:c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 ht="38" customHeight="1">
      <x:c r="A57" s="10" t="n">
        <x:v>52</x:v>
      </x:c>
      <x:c r="B57" s="10" t="str">
        <x:v>6a6aa6600000000013025cfc</x:v>
      </x:c>
      <x:c r="C57" s="13" t="str">
        <x:v>三河古镇极简攻略｜合肥周边一日游</x:v>
      </x:c>
      <x:c r="D57" s="13" t="str">
        <x:v>michill～</x:v>
      </x:c>
      <x:c r="E57" s="13" t="str">
        <x:v>小南河</x:v>
      </x:c>
      <x:c r="F57" s="13" t="str">
        <x:v>https://www.xiaohongshu.com/explore/6a6aa6600000000013025cfc</x:v>
      </x:c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 ht="38" customHeight="1">
      <x:c r="A58" s="10" t="n">
        <x:v>53</x:v>
      </x:c>
      <x:c r="B58" s="10" t="str">
        <x:v>6a6aa6600000000013025cfc</x:v>
      </x:c>
      <x:c r="C58" s="13" t="str">
        <x:v>三河古镇极简攻略｜合肥周边一日游</x:v>
      </x:c>
      <x:c r="D58" s="13" t="str">
        <x:v>michill～</x:v>
      </x:c>
      <x:c r="E58" s="13" t="str">
        <x:v>望月阁</x:v>
      </x:c>
      <x:c r="F58" s="13" t="str">
        <x:v>https://www.xiaohongshu.com/explore/6a6aa6600000000013025cfc</x:v>
      </x:c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 ht="38" customHeight="1">
      <x:c r="A59" s="10" t="n">
        <x:v>54</x:v>
      </x:c>
      <x:c r="B59" s="10" t="str">
        <x:v>6a6aa6600000000013025cfc</x:v>
      </x:c>
      <x:c r="C59" s="13" t="str">
        <x:v>三河古镇极简攻略｜合肥周边一日游</x:v>
      </x:c>
      <x:c r="D59" s="13" t="str">
        <x:v>michill～</x:v>
      </x:c>
      <x:c r="E59" s="13" t="str">
        <x:v>杨振宁旧居</x:v>
      </x:c>
      <x:c r="F59" s="13" t="str">
        <x:v>https://www.xiaohongshu.com/explore/6a6aa6600000000013025cfc</x:v>
      </x:c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 ht="38" customHeight="1">
      <x:c r="A60" s="10" t="n">
        <x:v>55</x:v>
      </x:c>
      <x:c r="B60" s="10" t="str">
        <x:v>6a6aa6600000000013025cfc</x:v>
      </x:c>
      <x:c r="C60" s="13" t="str">
        <x:v>三河古镇极简攻略｜合肥周边一日游</x:v>
      </x:c>
      <x:c r="D60" s="13" t="str">
        <x:v>michill～</x:v>
      </x:c>
      <x:c r="E60" s="13" t="str">
        <x:v>鹊渚廊桥</x:v>
      </x:c>
      <x:c r="F60" s="13" t="str">
        <x:v>https://www.xiaohongshu.com/explore/6a6aa6600000000013025cfc</x:v>
      </x:c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 ht="38" customHeight="1">
      <x:c r="A61" s="10" t="n">
        <x:v>56</x:v>
      </x:c>
      <x:c r="B61" s="10" t="str">
        <x:v>69356bb4000000001e005a68</x:v>
      </x:c>
      <x:c r="C61" s="13" t="str">
        <x:v>水墨入江南｜合肥三河古镇的秋天藏不住了</x:v>
      </x:c>
      <x:c r="D61" s="13" t="str">
        <x:v>江然凌</x:v>
      </x:c>
      <x:c r="E61" s="13" t="str">
        <x:v>一人巷</x:v>
      </x:c>
      <x:c r="F61" s="13" t="str">
        <x:v>https://www.xiaohongshu.com/explore/69356bb4000000001e005a68</x:v>
      </x:c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 ht="38" customHeight="1">
      <x:c r="A62" s="10" t="n">
        <x:v>57</x:v>
      </x:c>
      <x:c r="B62" s="10" t="str">
        <x:v>69356bb4000000001e005a68</x:v>
      </x:c>
      <x:c r="C62" s="13" t="str">
        <x:v>水墨入江南｜合肥三河古镇的秋天藏不住了</x:v>
      </x:c>
      <x:c r="D62" s="13" t="str">
        <x:v>江然凌</x:v>
      </x:c>
      <x:c r="E62" s="13" t="str">
        <x:v>古码头</x:v>
      </x:c>
      <x:c r="F62" s="13" t="str">
        <x:v>https://www.xiaohongshu.com/explore/69356bb4000000001e005a68</x:v>
      </x:c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 ht="38" customHeight="1">
      <x:c r="A63" s="10" t="n">
        <x:v>58</x:v>
      </x:c>
      <x:c r="B63" s="10" t="str">
        <x:v>69356bb4000000001e005a68</x:v>
      </x:c>
      <x:c r="C63" s="13" t="str">
        <x:v>水墨入江南｜合肥三河古镇的秋天藏不住了</x:v>
      </x:c>
      <x:c r="D63" s="13" t="str">
        <x:v>江然凌</x:v>
      </x:c>
      <x:c r="E63" s="13" t="str">
        <x:v>对越桥</x:v>
      </x:c>
      <x:c r="F63" s="13" t="str">
        <x:v>https://www.xiaohongshu.com/explore/69356bb4000000001e005a68</x:v>
      </x:c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 ht="38" customHeight="1">
      <x:c r="A64" s="10" t="n">
        <x:v>59</x:v>
      </x:c>
      <x:c r="B64" s="10" t="str">
        <x:v>69940160000000000e00d355</x:v>
      </x:c>
      <x:c r="C64" s="13" t="str">
        <x:v>登录2026央视春晚！合肥千年徽派水乡古镇</x:v>
      </x:c>
      <x:c r="D64" s="13" t="str">
        <x:v>Sunway榕城拾光。</x:v>
      </x:c>
      <x:c r="E64" s="13" t="str">
        <x:v>三县桥</x:v>
      </x:c>
      <x:c r="F64" s="13" t="str">
        <x:v>https://www.xiaohongshu.com/explore/69940160000000000e00d355</x:v>
      </x:c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 ht="38" customHeight="1">
      <x:c r="A65" s="10" t="n">
        <x:v>60</x:v>
      </x:c>
      <x:c r="B65" s="10" t="str">
        <x:v>69940160000000000e00d355</x:v>
      </x:c>
      <x:c r="C65" s="13" t="str">
        <x:v>登录2026央视春晚！合肥千年徽派水乡古镇</x:v>
      </x:c>
      <x:c r="D65" s="13" t="str">
        <x:v>Sunway榕城拾光。</x:v>
      </x:c>
      <x:c r="E65" s="13" t="str">
        <x:v>二龙桥</x:v>
      </x:c>
      <x:c r="F65" s="13" t="str">
        <x:v>https://www.xiaohongshu.com/explore/69940160000000000e00d355</x:v>
      </x:c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 ht="38" customHeight="1">
      <x:c r="A66" s="10" t="n">
        <x:v>61</x:v>
      </x:c>
      <x:c r="B66" s="10" t="str">
        <x:v>69940160000000000e00d355</x:v>
      </x:c>
      <x:c r="C66" s="13" t="str">
        <x:v>登录2026央视春晚！合肥千年徽派水乡古镇</x:v>
      </x:c>
      <x:c r="D66" s="13" t="str">
        <x:v>Sunway榕城拾光。</x:v>
      </x:c>
      <x:c r="E66" s="13" t="str">
        <x:v>望月桥</x:v>
      </x:c>
      <x:c r="F66" s="13" t="str">
        <x:v>https://www.xiaohongshu.com/explore/69940160000000000e00d355</x:v>
      </x:c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 ht="38" customHeight="1">
      <x:c r="A67" s="10" t="n">
        <x:v>62</x:v>
      </x:c>
      <x:c r="B67" s="10" t="str">
        <x:v>69940160000000000e00d355</x:v>
      </x:c>
      <x:c r="C67" s="13" t="str">
        <x:v>登录2026央视春晚！合肥千年徽派水乡古镇</x:v>
      </x:c>
      <x:c r="D67" s="13" t="str">
        <x:v>Sunway榕城拾光。</x:v>
      </x:c>
      <x:c r="E67" s="13" t="str">
        <x:v>望月阁</x:v>
      </x:c>
      <x:c r="F67" s="13" t="str">
        <x:v>https://www.xiaohongshu.com/explore/69940160000000000e00d355</x:v>
      </x:c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 ht="38" customHeight="1">
      <x:c r="A68" s="10" t="n">
        <x:v>63</x:v>
      </x:c>
      <x:c r="B68" s="10" t="str">
        <x:v>69940160000000000e00d355</x:v>
      </x:c>
      <x:c r="C68" s="13" t="str">
        <x:v>登录2026央视春晚！合肥千年徽派水乡古镇</x:v>
      </x:c>
      <x:c r="D68" s="13" t="str">
        <x:v>Sunway榕城拾光。</x:v>
      </x:c>
      <x:c r="E68" s="13" t="str">
        <x:v>鹊渚廊桥</x:v>
      </x:c>
      <x:c r="F68" s="13" t="str">
        <x:v>https://www.xiaohongshu.com/explore/69940160000000000e00d355</x:v>
      </x:c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 ht="38" customHeight="1">
      <x:c r="A69" s="10" t="n">
        <x:v>64</x:v>
      </x:c>
      <x:c r="B69" s="10" t="str">
        <x:v>69a83244000000001b015828</x:v>
      </x:c>
      <x:c r="C69" s="13" t="str">
        <x:v>春晚同款取景地！三河古镇，让全国记住了合肥</x:v>
      </x:c>
      <x:c r="D69" s="13" t="str">
        <x:v>把吴钩看了</x:v>
      </x:c>
      <x:c r="E69" s="13" t="str">
        <x:v>一人巷</x:v>
      </x:c>
      <x:c r="F69" s="13" t="str">
        <x:v>https://www.xiaohongshu.com/explore/69a83244000000001b015828</x:v>
      </x:c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 ht="38" customHeight="1">
      <x:c r="A70" s="10" t="n">
        <x:v>65</x:v>
      </x:c>
      <x:c r="B70" s="10" t="str">
        <x:v>69a83244000000001b015828</x:v>
      </x:c>
      <x:c r="C70" s="13" t="str">
        <x:v>春晚同款取景地！三河古镇，让全国记住了合肥</x:v>
      </x:c>
      <x:c r="D70" s="13" t="str">
        <x:v>把吴钩看了</x:v>
      </x:c>
      <x:c r="E70" s="13" t="str">
        <x:v>小南河</x:v>
      </x:c>
      <x:c r="F70" s="13" t="str">
        <x:v>https://www.xiaohongshu.com/explore/69a83244000000001b015828</x:v>
      </x:c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 ht="38" customHeight="1">
      <x:c r="A71" s="10" t="n">
        <x:v>66</x:v>
      </x:c>
      <x:c r="B71" s="10" t="str">
        <x:v>69a83244000000001b015828</x:v>
      </x:c>
      <x:c r="C71" s="13" t="str">
        <x:v>春晚同款取景地！三河古镇，让全国记住了合肥</x:v>
      </x:c>
      <x:c r="D71" s="13" t="str">
        <x:v>把吴钩看了</x:v>
      </x:c>
      <x:c r="E71" s="13" t="str">
        <x:v>望月阁</x:v>
      </x:c>
      <x:c r="F71" s="13" t="str">
        <x:v>https://www.xiaohongshu.com/explore/69a83244000000001b015828</x:v>
      </x:c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 ht="38" customHeight="1">
      <x:c r="A72" s="10" t="n">
        <x:v>67</x:v>
      </x:c>
      <x:c r="B72" s="10" t="str">
        <x:v>69a83244000000001b015828</x:v>
      </x:c>
      <x:c r="C72" s="13" t="str">
        <x:v>春晚同款取景地！三河古镇，让全国记住了合肥</x:v>
      </x:c>
      <x:c r="D72" s="13" t="str">
        <x:v>把吴钩看了</x:v>
      </x:c>
      <x:c r="E72" s="13" t="str">
        <x:v>杨振宁旧居</x:v>
      </x:c>
      <x:c r="F72" s="13" t="str">
        <x:v>https://www.xiaohongshu.com/explore/69a83244000000001b015828</x:v>
      </x:c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 ht="38" customHeight="1">
      <x:c r="A73" s="10" t="n">
        <x:v>68</x:v>
      </x:c>
      <x:c r="B73" s="10" t="str">
        <x:v>6932e63b000000001e0399c5</x:v>
      </x:c>
      <x:c r="C73" s="13" t="str">
        <x:v>三河古镇新机位，此时小南河美到封神！</x:v>
      </x:c>
      <x:c r="D73" s="13" t="str">
        <x:v>陈不二哇</x:v>
      </x:c>
      <x:c r="E73" s="13" t="str">
        <x:v>小南河</x:v>
      </x:c>
      <x:c r="F73" s="13" t="str">
        <x:v>https://www.xiaohongshu.com/explore/6932e63b000000001e0399c5</x:v>
      </x:c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 ht="38" customHeight="1">
      <x:c r="A74" s="10" t="n">
        <x:v>69</x:v>
      </x:c>
      <x:c r="B74" s="10" t="str">
        <x:v>688ca9b3000000000403d13c</x:v>
      </x:c>
      <x:c r="C74" s="13" t="str">
        <x:v>📍合肥周边游 | 三河古镇一日逃离计划（攻略</x:v>
      </x:c>
      <x:c r="D74" s="13" t="str">
        <x:v>困困鱼爱游玩</x:v>
      </x:c>
      <x:c r="E74" s="13" t="str">
        <x:v>一人巷</x:v>
      </x:c>
      <x:c r="F74" s="13" t="str">
        <x:v>https://www.xiaohongshu.com/explore/688ca9b3000000000403d13c</x:v>
      </x:c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 ht="38" customHeight="1">
      <x:c r="A75" s="10" t="n">
        <x:v>70</x:v>
      </x:c>
      <x:c r="B75" s="10" t="str">
        <x:v>688ca9b3000000000403d13c</x:v>
      </x:c>
      <x:c r="C75" s="13" t="str">
        <x:v>📍合肥周边游 | 三河古镇一日逃离计划（攻略</x:v>
      </x:c>
      <x:c r="D75" s="13" t="str">
        <x:v>困困鱼爱游玩</x:v>
      </x:c>
      <x:c r="E75" s="13" t="str">
        <x:v>万年禅寺</x:v>
      </x:c>
      <x:c r="F75" s="13" t="str">
        <x:v>https://www.xiaohongshu.com/explore/688ca9b3000000000403d13c</x:v>
      </x:c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 ht="38" customHeight="1">
      <x:c r="A76" s="10" t="n">
        <x:v>71</x:v>
      </x:c>
      <x:c r="B76" s="10" t="str">
        <x:v>688ca9b3000000000403d13c</x:v>
      </x:c>
      <x:c r="C76" s="13" t="str">
        <x:v>📍合肥周边游 | 三河古镇一日逃离计划（攻略</x:v>
      </x:c>
      <x:c r="D76" s="13" t="str">
        <x:v>困困鱼爱游玩</x:v>
      </x:c>
      <x:c r="E76" s="13" t="str">
        <x:v>三县桥</x:v>
      </x:c>
      <x:c r="F76" s="13" t="str">
        <x:v>https://www.xiaohongshu.com/explore/688ca9b3000000000403d13c</x:v>
      </x:c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 ht="38" customHeight="1">
      <x:c r="A77" s="10" t="n">
        <x:v>72</x:v>
      </x:c>
      <x:c r="B77" s="10" t="str">
        <x:v>688ca9b3000000000403d13c</x:v>
      </x:c>
      <x:c r="C77" s="13" t="str">
        <x:v>📍合肥周边游 | 三河古镇一日逃离计划（攻略</x:v>
      </x:c>
      <x:c r="D77" s="13" t="str">
        <x:v>困困鱼爱游玩</x:v>
      </x:c>
      <x:c r="E77" s="13" t="str">
        <x:v>仙姑楼</x:v>
      </x:c>
      <x:c r="F77" s="13" t="str">
        <x:v>https://www.xiaohongshu.com/explore/688ca9b3000000000403d13c</x:v>
      </x:c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 ht="38" customHeight="1">
      <x:c r="A78" s="10" t="n">
        <x:v>73</x:v>
      </x:c>
      <x:c r="B78" s="10" t="str">
        <x:v>688ca9b3000000000403d13c</x:v>
      </x:c>
      <x:c r="C78" s="13" t="str">
        <x:v>📍合肥周边游 | 三河古镇一日逃离计划（攻略</x:v>
      </x:c>
      <x:c r="D78" s="13" t="str">
        <x:v>困困鱼爱游玩</x:v>
      </x:c>
      <x:c r="E78" s="13" t="str">
        <x:v>仙归桥</x:v>
      </x:c>
      <x:c r="F78" s="13" t="str">
        <x:v>https://www.xiaohongshu.com/explore/688ca9b3000000000403d13c</x:v>
      </x:c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 ht="38" customHeight="1">
      <x:c r="A79" s="10" t="n">
        <x:v>74</x:v>
      </x:c>
      <x:c r="B79" s="10" t="str">
        <x:v>688ca9b3000000000403d13c</x:v>
      </x:c>
      <x:c r="C79" s="13" t="str">
        <x:v>📍合肥周边游 | 三河古镇一日逃离计划（攻略</x:v>
      </x:c>
      <x:c r="D79" s="13" t="str">
        <x:v>困困鱼爱游玩</x:v>
      </x:c>
      <x:c r="E79" s="13" t="str">
        <x:v>八扇街</x:v>
      </x:c>
      <x:c r="F79" s="13" t="str">
        <x:v>https://www.xiaohongshu.com/explore/688ca9b3000000000403d13c</x:v>
      </x:c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 ht="38" customHeight="1">
      <x:c r="A80" s="10" t="n">
        <x:v>75</x:v>
      </x:c>
      <x:c r="B80" s="10" t="str">
        <x:v>688ca9b3000000000403d13c</x:v>
      </x:c>
      <x:c r="C80" s="13" t="str">
        <x:v>📍合肥周边游 | 三河古镇一日逃离计划（攻略</x:v>
      </x:c>
      <x:c r="D80" s="13" t="str">
        <x:v>困困鱼爱游玩</x:v>
      </x:c>
      <x:c r="E80" s="13" t="str">
        <x:v>刘同兴隆庄</x:v>
      </x:c>
      <x:c r="F80" s="13" t="str">
        <x:v>https://www.xiaohongshu.com/explore/688ca9b3000000000403d13c</x:v>
      </x:c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 ht="38" customHeight="1">
      <x:c r="A81" s="10" t="n">
        <x:v>76</x:v>
      </x:c>
      <x:c r="B81" s="10" t="str">
        <x:v>688ca9b3000000000403d13c</x:v>
      </x:c>
      <x:c r="C81" s="13" t="str">
        <x:v>📍合肥周边游 | 三河古镇一日逃离计划（攻略</x:v>
      </x:c>
      <x:c r="D81" s="13" t="str">
        <x:v>困困鱼爱游玩</x:v>
      </x:c>
      <x:c r="E81" s="13" t="str">
        <x:v>望月桥</x:v>
      </x:c>
      <x:c r="F81" s="13" t="str">
        <x:v>https://www.xiaohongshu.com/explore/688ca9b3000000000403d13c</x:v>
      </x:c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 ht="38" customHeight="1">
      <x:c r="A82" s="10" t="n">
        <x:v>77</x:v>
      </x:c>
      <x:c r="B82" s="10" t="str">
        <x:v>688ca9b3000000000403d13c</x:v>
      </x:c>
      <x:c r="C82" s="13" t="str">
        <x:v>📍合肥周边游 | 三河古镇一日逃离计划（攻略</x:v>
      </x:c>
      <x:c r="D82" s="13" t="str">
        <x:v>困困鱼爱游玩</x:v>
      </x:c>
      <x:c r="E82" s="13" t="str">
        <x:v>望月阁</x:v>
      </x:c>
      <x:c r="F82" s="13" t="str">
        <x:v>https://www.xiaohongshu.com/explore/688ca9b3000000000403d13c</x:v>
      </x:c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 ht="38" customHeight="1">
      <x:c r="A83" s="10" t="n">
        <x:v>78</x:v>
      </x:c>
      <x:c r="B83" s="10" t="str">
        <x:v>688ca9b3000000000403d13c</x:v>
      </x:c>
      <x:c r="C83" s="13" t="str">
        <x:v>📍合肥周边游 | 三河古镇一日逃离计划（攻略</x:v>
      </x:c>
      <x:c r="D83" s="13" t="str">
        <x:v>困困鱼爱游玩</x:v>
      </x:c>
      <x:c r="E83" s="13" t="str">
        <x:v>杨振宁旧居</x:v>
      </x:c>
      <x:c r="F83" s="13" t="str">
        <x:v>https://www.xiaohongshu.com/explore/688ca9b3000000000403d13c</x:v>
      </x:c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 ht="38" customHeight="1">
      <x:c r="A84" s="10" t="n">
        <x:v>79</x:v>
      </x:c>
      <x:c r="B84" s="10" t="str">
        <x:v>688ca9b3000000000403d13c</x:v>
      </x:c>
      <x:c r="C84" s="13" t="str">
        <x:v>📍合肥周边游 | 三河古镇一日逃离计划（攻略</x:v>
      </x:c>
      <x:c r="D84" s="13" t="str">
        <x:v>困困鱼爱游玩</x:v>
      </x:c>
      <x:c r="E84" s="13" t="str">
        <x:v>翠竹亭</x:v>
      </x:c>
      <x:c r="F84" s="13" t="str">
        <x:v>https://www.xiaohongshu.com/explore/688ca9b3000000000403d13c</x:v>
      </x:c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 ht="38" customHeight="1">
      <x:c r="A85" s="10" t="n">
        <x:v>80</x:v>
      </x:c>
      <x:c r="B85" s="10" t="str">
        <x:v>688ca9b3000000000403d13c</x:v>
      </x:c>
      <x:c r="C85" s="13" t="str">
        <x:v>📍合肥周边游 | 三河古镇一日逃离计划（攻略</x:v>
      </x:c>
      <x:c r="D85" s="13" t="str">
        <x:v>困困鱼爱游玩</x:v>
      </x:c>
      <x:c r="E85" s="13" t="str">
        <x:v>董寅初纪念馆</x:v>
      </x:c>
      <x:c r="F85" s="13" t="str">
        <x:v>https://www.xiaohongshu.com/explore/688ca9b3000000000403d13c</x:v>
      </x:c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 ht="38" customHeight="1">
      <x:c r="A86" s="10" t="n">
        <x:v>81</x:v>
      </x:c>
      <x:c r="B86" s="10" t="str">
        <x:v>688ca9b3000000000403d13c</x:v>
      </x:c>
      <x:c r="C86" s="13" t="str">
        <x:v>📍合肥周边游 | 三河古镇一日逃离计划（攻略</x:v>
      </x:c>
      <x:c r="D86" s="13" t="str">
        <x:v>困困鱼爱游玩</x:v>
      </x:c>
      <x:c r="E86" s="13" t="str">
        <x:v>鹊渚桥码头</x:v>
      </x:c>
      <x:c r="F86" s="13" t="str">
        <x:v>https://www.xiaohongshu.com/explore/688ca9b3000000000403d13c</x:v>
      </x:c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 ht="38" customHeight="1">
      <x:c r="A87" s="10" t="n">
        <x:v>82</x:v>
      </x:c>
      <x:c r="B87" s="10" t="str">
        <x:v>691e8bd3000000001e00a457</x:v>
      </x:c>
      <x:c r="C87" s="13" t="str">
        <x:v>🌊合肥1h！三河古镇的水墨美到失语</x:v>
      </x:c>
      <x:c r="D87" s="13" t="str">
        <x:v>啷个哩个啷</x:v>
      </x:c>
      <x:c r="E87" s="13" t="str">
        <x:v>小南河</x:v>
      </x:c>
      <x:c r="F87" s="13" t="str">
        <x:v>https://www.xiaohongshu.com/explore/691e8bd3000000001e00a457</x:v>
      </x:c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 ht="38" customHeight="1">
      <x:c r="A88" s="11" t="n">
        <x:v>83</x:v>
      </x:c>
      <x:c r="B88" s="11" t="str">
        <x:v>691e8bd3000000001e00a457</x:v>
      </x:c>
      <x:c r="C88" s="14" t="str">
        <x:v>🌊合肥1h！三河古镇的水墨美到失语</x:v>
      </x:c>
      <x:c r="D88" s="14" t="str">
        <x:v>啷个哩个啷</x:v>
      </x:c>
      <x:c r="E88" s="14" t="str">
        <x:v>鹊渚廊桥</x:v>
      </x:c>
      <x:c r="F88" s="14" t="str">
        <x:v>https://www.xiaohongshu.com/explore/691e8bd3000000001e00a457</x:v>
      </x:c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mergeCells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30" hidden="0" customWidth="1"/>
    <x:col min="10" max="10" width="18" hidden="0" customWidth="1"/>
    <x:col min="11" max="11" width="58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2" t="str">
        <x:v>坐标与来源</x:v>
      </x:c>
      <x:c r="B2" s="2"/>
      <x:c r="C2" s="2"/>
      <x:c r="D2" s="2"/>
      <x:c r="E2" s="2"/>
      <x:c r="F2" s="2"/>
      <x:c r="G2" s="2"/>
      <x:c r="H2" s="2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3" t="str">
        <x:v>Leaflet/OSM使用WGS84；高德/POILIST公开坐标原为GCJ-02，已迭代反算。代表点单独标记。</x:v>
      </x:c>
      <x:c r="B3" s="3"/>
      <x:c r="C3" s="3"/>
      <x:c r="D3" s="3"/>
      <x:c r="E3" s="3"/>
      <x:c r="F3" s="3"/>
      <x:c r="G3" s="3"/>
      <x:c r="H3" s="3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34" customHeight="1">
      <x:c r="A5" s="8" t="str">
        <x:v>地点</x:v>
      </x:c>
      <x:c r="B5" s="8" t="str">
        <x:v>类别</x:v>
      </x:c>
      <x:c r="C5" s="8" t="str">
        <x:v>WGS84经度</x:v>
      </x:c>
      <x:c r="D5" s="8" t="str">
        <x:v>WGS84纬度</x:v>
      </x:c>
      <x:c r="E5" s="8" t="str">
        <x:v>原经度</x:v>
      </x:c>
      <x:c r="F5" s="8" t="str">
        <x:v>原纬度</x:v>
      </x:c>
      <x:c r="G5" s="8" t="str">
        <x:v>原坐标系</x:v>
      </x:c>
      <x:c r="H5" s="8" t="str">
        <x:v>坐标来源</x:v>
      </x:c>
      <x:c r="I5" s="8" t="str">
        <x:v>坐标状态</x:v>
      </x:c>
      <x:c r="J5" s="8" t="str">
        <x:v>精度分层</x:v>
      </x:c>
      <x:c r="K5" s="8" t="str">
        <x:v>来源链接</x:v>
      </x:c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34" customHeight="1">
      <x:c r="A6" s="10" t="str">
        <x:v>小南河</x:v>
      </x:c>
      <x:c r="B6" s="10" t="str">
        <x:v>水岸与桥梁</x:v>
      </x:c>
      <x:c r="C6" s="16" t="n">
        <x:v>117.240538</x:v>
      </x:c>
      <x:c r="D6" s="16" t="n">
        <x:v>31.512738</x:v>
      </x:c>
      <x:c r="E6" s="16" t="n">
        <x:v>117.240538</x:v>
      </x:c>
      <x:c r="F6" s="16" t="n">
        <x:v>31.512738</x:v>
      </x:c>
      <x:c r="G6" s="10" t="str">
        <x:v>WGS84</x:v>
      </x:c>
      <x:c r="H6" s="13" t="str">
        <x:v>OpenStreetMap 小南河线要素质心</x:v>
      </x:c>
      <x:c r="I6" s="13" t="str">
        <x:v>线状地物代表点</x:v>
      </x:c>
      <x:c r="J6" s="13" t="str">
        <x:v>representative</x:v>
      </x:c>
      <x:c r="K6" s="13" t="str">
        <x:v>https://www.openstreetmap.org/</x:v>
      </x:c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34" customHeight="1">
      <x:c r="A7" s="10" t="str">
        <x:v>望月阁</x:v>
      </x:c>
      <x:c r="B7" s="10" t="str">
        <x:v>地标与服务</x:v>
      </x:c>
      <x:c r="C7" s="16" t="n">
        <x:v>117.2376257</x:v>
      </x:c>
      <x:c r="D7" s="16" t="n">
        <x:v>31.5124056</x:v>
      </x:c>
      <x:c r="E7" s="16" t="n">
        <x:v>117.243076</x:v>
      </x:c>
      <x:c r="F7" s="16" t="n">
        <x:v>31.510412</x:v>
      </x:c>
      <x:c r="G7" s="10" t="str">
        <x:v>GCJ02</x:v>
      </x:c>
      <x:c r="H7" s="13" t="str">
        <x:v>高德地图 POI</x:v>
      </x:c>
      <x:c r="I7" s="13" t="str">
        <x:v>核验点位</x:v>
      </x:c>
      <x:c r="J7" s="13" t="str">
        <x:v>exact</x:v>
      </x:c>
      <x:c r="K7" s="13" t="str">
        <x:v>https://ranks.amap.com/ranking/%E5%8F%A4%E9%95%87%E5%8F%A4%E6%9D%91/%E6%9D%8E%E9%B8%BF%E7%AB%A0%E6%95%85%E5%B1%85/%E6%B8%B8%E5%AE%A2</x:v>
      </x:c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34" customHeight="1">
      <x:c r="A8" s="10" t="str">
        <x:v>杨振宁旧居</x:v>
      </x:c>
      <x:c r="B8" s="10" t="str">
        <x:v>名人故居与文化</x:v>
      </x:c>
      <x:c r="C8" s="16" t="n">
        <x:v>117.2385018</x:v>
      </x:c>
      <x:c r="D8" s="16" t="n">
        <x:v>31.5113811</x:v>
      </x:c>
      <x:c r="E8" s="16" t="n">
        <x:v>117.243952</x:v>
      </x:c>
      <x:c r="F8" s="16" t="n">
        <x:v>31.509387</x:v>
      </x:c>
      <x:c r="G8" s="10" t="str">
        <x:v>GCJ02</x:v>
      </x:c>
      <x:c r="H8" s="13" t="str">
        <x:v>高德地图 POI</x:v>
      </x:c>
      <x:c r="I8" s="13" t="str">
        <x:v>核验点位</x:v>
      </x:c>
      <x:c r="J8" s="13" t="str">
        <x:v>exact</x:v>
      </x:c>
      <x:c r="K8" s="13" t="str">
        <x:v>https://ranks.amap.com/ranking/%E5%8F%A4%E9%95%87%E5%8F%A4%E6%9D%91/%E6%9D%8E%E9%B8%BF%E7%AB%A0%E6%95%85%E5%B1%85/%E6%B8%B8%E5%AE%A2</x:v>
      </x:c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34" customHeight="1">
      <x:c r="A9" s="10" t="str">
        <x:v>一人巷</x:v>
      </x:c>
      <x:c r="B9" s="10" t="str">
        <x:v>古街巷</x:v>
      </x:c>
      <x:c r="C9" s="16" t="n">
        <x:v>117.2386198</x:v>
      </x:c>
      <x:c r="D9" s="16" t="n">
        <x:v>31.5116581</x:v>
      </x:c>
      <x:c r="E9" s="16" t="n">
        <x:v>117.24407</x:v>
      </x:c>
      <x:c r="F9" s="16" t="n">
        <x:v>31.509664</x:v>
      </x:c>
      <x:c r="G9" s="10" t="str">
        <x:v>GCJ02</x:v>
      </x:c>
      <x:c r="H9" s="13" t="str">
        <x:v>高德地图 POI</x:v>
      </x:c>
      <x:c r="I9" s="13" t="str">
        <x:v>核验点位</x:v>
      </x:c>
      <x:c r="J9" s="13" t="str">
        <x:v>exact</x:v>
      </x:c>
      <x:c r="K9" s="13" t="str">
        <x:v>https://ranks.amap.com/ranking/%E5%8F%A4%E9%95%87%E5%8F%A4%E6%9D%91/%E6%9D%8E%E9%B8%BF%E7%AB%A0%E6%95%85%E5%B1%85/%E6%B8%B8%E5%AE%A2</x:v>
      </x:c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34" customHeight="1">
      <x:c r="A10" s="10" t="str">
        <x:v>三县桥</x:v>
      </x:c>
      <x:c r="B10" s="10" t="str">
        <x:v>水岸与桥梁</x:v>
      </x:c>
      <x:c r="C10" s="16" t="n">
        <x:v>117.2386938</x:v>
      </x:c>
      <x:c r="D10" s="16" t="n">
        <x:v>31.5121281</x:v>
      </x:c>
      <x:c r="E10" s="16" t="n">
        <x:v>117.244144</x:v>
      </x:c>
      <x:c r="F10" s="16" t="n">
        <x:v>31.510134</x:v>
      </x:c>
      <x:c r="G10" s="10" t="str">
        <x:v>GCJ02</x:v>
      </x:c>
      <x:c r="H10" s="13" t="str">
        <x:v>高德地图 POI</x:v>
      </x:c>
      <x:c r="I10" s="13" t="str">
        <x:v>核验点位</x:v>
      </x:c>
      <x:c r="J10" s="13" t="str">
        <x:v>exact</x:v>
      </x:c>
      <x:c r="K10" s="13" t="str">
        <x:v>https://ranks.amap.com/ranking/%E5%8F%A4%E9%95%87%E5%8F%A4%E6%9D%91/%E6%9D%8E%E9%B8%BF%E7%AB%A0%E6%95%85%E5%B1%85/%E6%B8%B8%E5%AE%A2</x:v>
      </x:c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34" customHeight="1">
      <x:c r="A11" s="10" t="str">
        <x:v>刘同兴隆庄</x:v>
      </x:c>
      <x:c r="B11" s="10" t="str">
        <x:v>名人故居与文化</x:v>
      </x:c>
      <x:c r="C11" s="16" t="n">
        <x:v>117.2382244</x:v>
      </x:c>
      <x:c r="D11" s="16" t="n">
        <x:v>31.5162834</x:v>
      </x:c>
      <x:c r="E11" s="16" t="n">
        <x:v>117.243675</x:v>
      </x:c>
      <x:c r="F11" s="16" t="n">
        <x:v>31.51429</x:v>
      </x:c>
      <x:c r="G11" s="10" t="str">
        <x:v>GCJ02</x:v>
      </x:c>
      <x:c r="H11" s="13" t="str">
        <x:v>高德地图 POI</x:v>
      </x:c>
      <x:c r="I11" s="13" t="str">
        <x:v>核验点位</x:v>
      </x:c>
      <x:c r="J11" s="13" t="str">
        <x:v>exact</x:v>
      </x:c>
      <x:c r="K11" s="13" t="str">
        <x:v>https://ranks.amap.com/ranking/%E5%8F%A4%E9%95%87%E5%8F%A4%E6%9D%91/%E6%9D%8E%E9%B8%BF%E7%AB%A0%E6%95%85%E5%B1%85/%E6%B8%B8%E5%AE%A2</x:v>
      </x:c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34" customHeight="1">
      <x:c r="A12" s="10" t="str">
        <x:v>鹊渚廊桥</x:v>
      </x:c>
      <x:c r="B12" s="10" t="str">
        <x:v>水岸与桥梁</x:v>
      </x:c>
      <x:c r="C12" s="16" t="n">
        <x:v>117.2396</x:v>
      </x:c>
      <x:c r="D12" s="16" t="n">
        <x:v>31.511483</x:v>
      </x:c>
      <x:c r="E12" s="16" t="n">
        <x:v>117.2396</x:v>
      </x:c>
      <x:c r="F12" s="16" t="n">
        <x:v>31.511483</x:v>
      </x:c>
      <x:c r="G12" s="10" t="str">
        <x:v>WGS84</x:v>
      </x:c>
      <x:c r="H12" s="13" t="str">
        <x:v>OpenStreetMap 鹊渚廊桥</x:v>
      </x:c>
      <x:c r="I12" s="13" t="str">
        <x:v>核验点位</x:v>
      </x:c>
      <x:c r="J12" s="13" t="str">
        <x:v>exact</x:v>
      </x:c>
      <x:c r="K12" s="13" t="str">
        <x:v>https://www.openstreetmap.org/</x:v>
      </x:c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34" customHeight="1">
      <x:c r="A13" s="10" t="str">
        <x:v>万年禅寺</x:v>
      </x:c>
      <x:c r="B13" s="10" t="str">
        <x:v>名人故居与文化</x:v>
      </x:c>
      <x:c r="C13" s="16" t="n">
        <x:v>117.2400962</x:v>
      </x:c>
      <x:c r="D13" s="16" t="n">
        <x:v>31.5085551</x:v>
      </x:c>
      <x:c r="E13" s="16" t="n">
        <x:v>117.245546</x:v>
      </x:c>
      <x:c r="F13" s="16" t="n">
        <x:v>31.50656</x:v>
      </x:c>
      <x:c r="G13" s="10" t="str">
        <x:v>GCJ02</x:v>
      </x:c>
      <x:c r="H13" s="13" t="str">
        <x:v>高德地图“万年寺”POI</x:v>
      </x:c>
      <x:c r="I13" s="13" t="str">
        <x:v>名称待核验</x:v>
      </x:c>
      <x:c r="J13" s="13" t="str">
        <x:v>representative</x:v>
      </x:c>
      <x:c r="K13" s="13" t="str">
        <x:v>https://ranks.amap.com/ranking/%E5%8F%A4%E9%95%87%E5%8F%A4%E6%9D%91/%E6%9D%8E%E9%B8%BF%E7%AB%A0%E6%95%85%E5%B1%85/%E6%B8%B8%E5%AE%A2</x:v>
      </x:c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34" customHeight="1">
      <x:c r="A14" s="10" t="str">
        <x:v>仙姑楼</x:v>
      </x:c>
      <x:c r="B14" s="10" t="str">
        <x:v>地标与服务</x:v>
      </x:c>
      <x:c r="C14" s="16" t="n">
        <x:v>117.2388787</x:v>
      </x:c>
      <x:c r="D14" s="16" t="n">
        <x:v>31.513353</x:v>
      </x:c>
      <x:c r="E14" s="16" t="n">
        <x:v>117.244329</x:v>
      </x:c>
      <x:c r="F14" s="16" t="n">
        <x:v>31.511359</x:v>
      </x:c>
      <x:c r="G14" s="10" t="str">
        <x:v>GCJ02</x:v>
      </x:c>
      <x:c r="H14" s="13" t="str">
        <x:v>高德地图 POI</x:v>
      </x:c>
      <x:c r="I14" s="13" t="str">
        <x:v>核验点位</x:v>
      </x:c>
      <x:c r="J14" s="13" t="str">
        <x:v>exact</x:v>
      </x:c>
      <x:c r="K14" s="13" t="str">
        <x:v>https://ranks.amap.com/ranking/%E5%8F%A4%E9%95%87%E5%8F%A4%E6%9D%91/%E6%9D%8E%E9%B8%BF%E7%AB%A0%E6%95%85%E5%B1%85/%E6%B8%B8%E5%AE%A2</x:v>
      </x:c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34" customHeight="1">
      <x:c r="A15" s="10" t="str">
        <x:v>仙归桥</x:v>
      </x:c>
      <x:c r="B15" s="10" t="str">
        <x:v>水岸与桥梁</x:v>
      </x:c>
      <x:c r="C15" s="16" t="n">
        <x:v>117.2386072</x:v>
      </x:c>
      <x:c r="D15" s="16" t="n">
        <x:v>31.5181563</x:v>
      </x:c>
      <x:c r="E15" s="16" t="n">
        <x:v>117.244058</x:v>
      </x:c>
      <x:c r="F15" s="16" t="n">
        <x:v>31.516163</x:v>
      </x:c>
      <x:c r="G15" s="10" t="str">
        <x:v>GCJ02</x:v>
      </x:c>
      <x:c r="H15" s="13" t="str">
        <x:v>高德地图 POI</x:v>
      </x:c>
      <x:c r="I15" s="13" t="str">
        <x:v>核验点位</x:v>
      </x:c>
      <x:c r="J15" s="13" t="str">
        <x:v>exact</x:v>
      </x:c>
      <x:c r="K15" s="13" t="str">
        <x:v>https://ranks.amap.com/ranking/%E5%8F%A4%E9%95%87%E5%8F%A4%E6%9D%91/%E6%9D%8E%E9%B8%BF%E7%AB%A0%E6%95%85%E5%B1%85/%E6%B8%B8%E5%AE%A2</x:v>
      </x:c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34" customHeight="1">
      <x:c r="A16" s="10" t="str">
        <x:v>古西街</x:v>
      </x:c>
      <x:c r="B16" s="10" t="str">
        <x:v>古街巷</x:v>
      </x:c>
      <x:c r="C16" s="16" t="n">
        <x:v>117.235595</x:v>
      </x:c>
      <x:c r="D16" s="16" t="n">
        <x:v>31.514733</x:v>
      </x:c>
      <x:c r="E16" s="16" t="n">
        <x:v>117.235595</x:v>
      </x:c>
      <x:c r="F16" s="16" t="n">
        <x:v>31.514733</x:v>
      </x:c>
      <x:c r="G16" s="10" t="str">
        <x:v>WGS84</x:v>
      </x:c>
      <x:c r="H16" s="13" t="str">
        <x:v>OpenStreetMap 西街</x:v>
      </x:c>
      <x:c r="I16" s="13" t="str">
        <x:v>街区代表点</x:v>
      </x:c>
      <x:c r="J16" s="13" t="str">
        <x:v>representative</x:v>
      </x:c>
      <x:c r="K16" s="13" t="str">
        <x:v>https://www.openstreetmap.org/</x:v>
      </x:c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 ht="34" customHeight="1">
      <x:c r="A17" s="10" t="str">
        <x:v>望月桥</x:v>
      </x:c>
      <x:c r="B17" s="10" t="str">
        <x:v>水岸与桥梁</x:v>
      </x:c>
      <x:c r="C17" s="16" t="n">
        <x:v>117.2379707</x:v>
      </x:c>
      <x:c r="D17" s="16" t="n">
        <x:v>31.5125168</x:v>
      </x:c>
      <x:c r="E17" s="16" t="n">
        <x:v>117.243421</x:v>
      </x:c>
      <x:c r="F17" s="16" t="n">
        <x:v>31.510523</x:v>
      </x:c>
      <x:c r="G17" s="10" t="str">
        <x:v>GCJ02</x:v>
      </x:c>
      <x:c r="H17" s="13" t="str">
        <x:v>高德地图 POI</x:v>
      </x:c>
      <x:c r="I17" s="13" t="str">
        <x:v>核验点位</x:v>
      </x:c>
      <x:c r="J17" s="13" t="str">
        <x:v>exact</x:v>
      </x:c>
      <x:c r="K17" s="13" t="str">
        <x:v>https://ranks.amap.com/ranking/%E5%8F%A4%E9%95%87%E5%8F%A4%E6%9D%91/%E6%9D%8E%E9%B8%BF%E7%AB%A0%E6%95%85%E5%B1%85/%E6%B8%B8%E5%AE%A2</x:v>
      </x:c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 ht="34" customHeight="1">
      <x:c r="A18" s="10" t="str">
        <x:v>董寅初纪念馆</x:v>
      </x:c>
      <x:c r="B18" s="10" t="str">
        <x:v>名人故居与文化</x:v>
      </x:c>
      <x:c r="C18" s="16" t="n">
        <x:v>117.2380583</x:v>
      </x:c>
      <x:c r="D18" s="16" t="n">
        <x:v>31.5167592</x:v>
      </x:c>
      <x:c r="E18" s="16" t="n">
        <x:v>117.243509</x:v>
      </x:c>
      <x:c r="F18" s="16" t="n">
        <x:v>31.514766</x:v>
      </x:c>
      <x:c r="G18" s="10" t="str">
        <x:v>GCJ02</x:v>
      </x:c>
      <x:c r="H18" s="13" t="str">
        <x:v>高德地图 POI</x:v>
      </x:c>
      <x:c r="I18" s="13" t="str">
        <x:v>核验点位</x:v>
      </x:c>
      <x:c r="J18" s="13" t="str">
        <x:v>exact</x:v>
      </x:c>
      <x:c r="K18" s="13" t="str">
        <x:v>https://ranks.amap.com/ranking/%E5%8F%A4%E9%95%87%E5%8F%A4%E6%9D%91/%E6%9D%8E%E9%B8%BF%E7%AB%A0%E6%95%85%E5%B1%85/%E6%B8%B8%E5%AE%A2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 ht="34" customHeight="1">
      <x:c r="A19" s="10" t="str">
        <x:v>万年台</x:v>
      </x:c>
      <x:c r="B19" s="10" t="str">
        <x:v>地标与服务</x:v>
      </x:c>
      <x:c r="C19" s="16" t="n">
        <x:v>117.2401289</x:v>
      </x:c>
      <x:c r="D19" s="16" t="n">
        <x:v>31.5115987</x:v>
      </x:c>
      <x:c r="E19" s="16" t="n">
        <x:v>117.245579</x:v>
      </x:c>
      <x:c r="F19" s="16" t="n">
        <x:v>31.509604</x:v>
      </x:c>
      <x:c r="G19" s="10" t="str">
        <x:v>GCJ02</x:v>
      </x:c>
      <x:c r="H19" s="13" t="str">
        <x:v>公开地图 POI</x:v>
      </x:c>
      <x:c r="I19" s="13" t="str">
        <x:v>核验点位</x:v>
      </x:c>
      <x:c r="J19" s="13" t="str">
        <x:v>exact</x:v>
      </x:c>
      <x:c r="K19" s="13" t="str">
        <x:v>https://www.poilist.cn/poi-list-%E6%99%AF%E7%82%B9-%E5%90%88%E8%82%A5/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 ht="34" customHeight="1">
      <x:c r="A20" s="10" t="str">
        <x:v>二龙桥</x:v>
      </x:c>
      <x:c r="B20" s="10" t="str">
        <x:v>水岸与桥梁</x:v>
      </x:c>
      <x:c r="C20" s="16" t="n">
        <x:v>117.241453</x:v>
      </x:c>
      <x:c r="D20" s="16" t="n">
        <x:v>31.5101674</x:v>
      </x:c>
      <x:c r="E20" s="16" t="n">
        <x:v>117.246903</x:v>
      </x:c>
      <x:c r="F20" s="16" t="n">
        <x:v>31.508172</x:v>
      </x:c>
      <x:c r="G20" s="10" t="str">
        <x:v>GCJ02</x:v>
      </x:c>
      <x:c r="H20" s="13" t="str">
        <x:v>高德地图 POI</x:v>
      </x:c>
      <x:c r="I20" s="13" t="str">
        <x:v>核验点位</x:v>
      </x:c>
      <x:c r="J20" s="13" t="str">
        <x:v>exact</x:v>
      </x:c>
      <x:c r="K20" s="13" t="str">
        <x:v>https://ranks.amap.com/ranking/%E5%8F%A4%E9%95%87%E5%8F%A4%E6%9D%91/%E6%9D%8E%E9%B8%BF%E7%AB%A0%E6%95%85%E5%B1%85/%E6%B8%B8%E5%AE%A2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 ht="34" customHeight="1">
      <x:c r="A21" s="10" t="str">
        <x:v>游客中心</x:v>
      </x:c>
      <x:c r="B21" s="10" t="str">
        <x:v>地标与服务</x:v>
      </x:c>
      <x:c r="C21" s="16" t="n">
        <x:v>117.239651</x:v>
      </x:c>
      <x:c r="D21" s="16" t="n">
        <x:v>31.517653</x:v>
      </x:c>
      <x:c r="E21" s="16" t="n">
        <x:v>117.239651</x:v>
      </x:c>
      <x:c r="F21" s="16" t="n">
        <x:v>31.517653</x:v>
      </x:c>
      <x:c r="G21" s="10" t="str">
        <x:v>WGS84</x:v>
      </x:c>
      <x:c r="H21" s="13" t="str">
        <x:v>OpenStreetMap 游客接待中心</x:v>
      </x:c>
      <x:c r="I21" s="13" t="str">
        <x:v>核验点位</x:v>
      </x:c>
      <x:c r="J21" s="13" t="str">
        <x:v>exact</x:v>
      </x:c>
      <x:c r="K21" s="13" t="str">
        <x:v>https://www.openstreetmap.org/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 ht="34" customHeight="1">
      <x:c r="A22" s="10" t="str">
        <x:v>鹤庐</x:v>
      </x:c>
      <x:c r="B22" s="10" t="str">
        <x:v>名人故居与文化</x:v>
      </x:c>
      <x:c r="C22" s="16" t="n">
        <x:v>117.239869</x:v>
      </x:c>
      <x:c r="D22" s="16" t="n">
        <x:v>31.5106918</x:v>
      </x:c>
      <x:c r="E22" s="16" t="n">
        <x:v>117.245319</x:v>
      </x:c>
      <x:c r="F22" s="16" t="n">
        <x:v>31.508697</x:v>
      </x:c>
      <x:c r="G22" s="10" t="str">
        <x:v>GCJ02</x:v>
      </x:c>
      <x:c r="H22" s="13" t="str">
        <x:v>高德地图 POI</x:v>
      </x:c>
      <x:c r="I22" s="13" t="str">
        <x:v>核验点位</x:v>
      </x:c>
      <x:c r="J22" s="13" t="str">
        <x:v>exact</x:v>
      </x:c>
      <x:c r="K22" s="13" t="str">
        <x:v>https://ranks.amap.com/ranking/%E5%8F%A4%E9%95%87%E5%8F%A4%E6%9D%91/%E6%9D%8E%E9%B8%BF%E7%AB%A0%E6%95%85%E5%B1%85/%E6%B8%B8%E5%AE%A2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 ht="34" customHeight="1">
      <x:c r="A23" s="10" t="str">
        <x:v>八扇街</x:v>
      </x:c>
      <x:c r="B23" s="10" t="str">
        <x:v>古街巷</x:v>
      </x:c>
      <x:c r="C23" s="16" t="n">
        <x:v>117.23885</x:v>
      </x:c>
      <x:c r="D23" s="16" t="n">
        <x:v>31.5113</x:v>
      </x:c>
      <x:c r="E23" s="16" t="n">
        <x:v>117.23885</x:v>
      </x:c>
      <x:c r="F23" s="16" t="n">
        <x:v>31.5113</x:v>
      </x:c>
      <x:c r="G23" s="10" t="str">
        <x:v>WGS84</x:v>
      </x:c>
      <x:c r="H23" s="13" t="str">
        <x:v>核心街区人工代表点</x:v>
      </x:c>
      <x:c r="I23" s="13" t="str">
        <x:v>街区代表点，待现场核验</x:v>
      </x:c>
      <x:c r="J23" s="13" t="str">
        <x:v>representative</x:v>
      </x:c>
      <x:c r="K23" s="13" t="str">
        <x:v>https://www.openstreetmap.org/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 ht="34" customHeight="1">
      <x:c r="A24" s="10" t="str">
        <x:v>古码头</x:v>
      </x:c>
      <x:c r="B24" s="10" t="str">
        <x:v>水岸与桥梁</x:v>
      </x:c>
      <x:c r="C24" s="16" t="n">
        <x:v>117.23971</x:v>
      </x:c>
      <x:c r="D24" s="16" t="n">
        <x:v>31.51495</x:v>
      </x:c>
      <x:c r="E24" s="16" t="n">
        <x:v>117.23971</x:v>
      </x:c>
      <x:c r="F24" s="16" t="n">
        <x:v>31.51495</x:v>
      </x:c>
      <x:c r="G24" s="10" t="str">
        <x:v>WGS84</x:v>
      </x:c>
      <x:c r="H24" s="13" t="str">
        <x:v>小南河沿线人工代表点</x:v>
      </x:c>
      <x:c r="I24" s="13" t="str">
        <x:v>近似位置，待现场核验</x:v>
      </x:c>
      <x:c r="J24" s="13" t="str">
        <x:v>representative</x:v>
      </x:c>
      <x:c r="K24" s="13" t="str">
        <x:v>https://www.openstreetmap.org/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 ht="34" customHeight="1">
      <x:c r="A25" s="10" t="str">
        <x:v>合众巷</x:v>
      </x:c>
      <x:c r="B25" s="10" t="str">
        <x:v>古街巷</x:v>
      </x:c>
      <x:c r="C25" s="16" t="n">
        <x:v>117.2379093</x:v>
      </x:c>
      <x:c r="D25" s="16" t="n">
        <x:v>31.5162292</x:v>
      </x:c>
      <x:c r="E25" s="16" t="n">
        <x:v>117.24336</x:v>
      </x:c>
      <x:c r="F25" s="16" t="n">
        <x:v>31.514236</x:v>
      </x:c>
      <x:c r="G25" s="10" t="str">
        <x:v>GCJ02</x:v>
      </x:c>
      <x:c r="H25" s="13" t="str">
        <x:v>高德地图 POI</x:v>
      </x:c>
      <x:c r="I25" s="13" t="str">
        <x:v>核验点位</x:v>
      </x:c>
      <x:c r="J25" s="13" t="str">
        <x:v>exact</x:v>
      </x:c>
      <x:c r="K25" s="13" t="str">
        <x:v>https://ranks.amap.com/ranking/%E5%8F%A4%E9%95%87%E5%8F%A4%E6%9D%91/%E6%9D%8E%E9%B8%BF%E7%AB%A0%E6%95%85%E5%B1%85/%E6%B8%B8%E5%AE%A2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 ht="34" customHeight="1">
      <x:c r="A26" s="10" t="str">
        <x:v>城隍庙</x:v>
      </x:c>
      <x:c r="B26" s="10" t="str">
        <x:v>名人故居与文化</x:v>
      </x:c>
      <x:c r="C26" s="16" t="n">
        <x:v>117.240683</x:v>
      </x:c>
      <x:c r="D26" s="16" t="n">
        <x:v>31.5098002</x:v>
      </x:c>
      <x:c r="E26" s="16" t="n">
        <x:v>117.246133</x:v>
      </x:c>
      <x:c r="F26" s="16" t="n">
        <x:v>31.507805</x:v>
      </x:c>
      <x:c r="G26" s="10" t="str">
        <x:v>GCJ02</x:v>
      </x:c>
      <x:c r="H26" s="13" t="str">
        <x:v>高德地图 POI</x:v>
      </x:c>
      <x:c r="I26" s="13" t="str">
        <x:v>核验点位</x:v>
      </x:c>
      <x:c r="J26" s="13" t="str">
        <x:v>exact</x:v>
      </x:c>
      <x:c r="K26" s="13" t="str">
        <x:v>https://ranks.amap.com/ranking/%E5%8F%A4%E9%95%87%E5%8F%A4%E6%9D%91/%E6%9D%8E%E9%B8%BF%E7%AB%A0%E6%95%85%E5%B1%85/%E6%B8%B8%E5%AE%A2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 ht="34" customHeight="1">
      <x:c r="A27" s="10" t="str">
        <x:v>大捷门</x:v>
      </x:c>
      <x:c r="B27" s="10" t="str">
        <x:v>地标与服务</x:v>
      </x:c>
      <x:c r="C27" s="16" t="n">
        <x:v>117.2405927</x:v>
      </x:c>
      <x:c r="D27" s="16" t="n">
        <x:v>31.5130067</x:v>
      </x:c>
      <x:c r="E27" s="16" t="n">
        <x:v>117.246043</x:v>
      </x:c>
      <x:c r="F27" s="16" t="n">
        <x:v>31.511012</x:v>
      </x:c>
      <x:c r="G27" s="10" t="str">
        <x:v>GCJ02</x:v>
      </x:c>
      <x:c r="H27" s="13" t="str">
        <x:v>公开地图 POI</x:v>
      </x:c>
      <x:c r="I27" s="13" t="str">
        <x:v>核验点位</x:v>
      </x:c>
      <x:c r="J27" s="13" t="str">
        <x:v>exact</x:v>
      </x:c>
      <x:c r="K27" s="13" t="str">
        <x:v>https://www.poilist.cn/poi-list-%E6%99%AF%E7%82%B9-%E5%90%88%E8%82%A5/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 ht="34" customHeight="1">
      <x:c r="A28" s="10" t="str">
        <x:v>孙立人故居</x:v>
      </x:c>
      <x:c r="B28" s="10" t="str">
        <x:v>名人故居与文化</x:v>
      </x:c>
      <x:c r="C28" s="16" t="n">
        <x:v>117.239181</x:v>
      </x:c>
      <x:c r="D28" s="16" t="n">
        <x:v>31.5099466</x:v>
      </x:c>
      <x:c r="E28" s="16" t="n">
        <x:v>117.244631</x:v>
      </x:c>
      <x:c r="F28" s="16" t="n">
        <x:v>31.507952</x:v>
      </x:c>
      <x:c r="G28" s="10" t="str">
        <x:v>GCJ02</x:v>
      </x:c>
      <x:c r="H28" s="13" t="str">
        <x:v>高德地图 POI</x:v>
      </x:c>
      <x:c r="I28" s="13" t="str">
        <x:v>核验点位</x:v>
      </x:c>
      <x:c r="J28" s="13" t="str">
        <x:v>exact</x:v>
      </x:c>
      <x:c r="K28" s="13" t="str">
        <x:v>https://ranks.amap.com/ranking/%E5%8F%A4%E9%95%87%E5%8F%A4%E6%9D%91/%E6%9D%8E%E9%B8%BF%E7%AB%A0%E6%95%85%E5%B1%85/%E6%B8%B8%E5%AE%A2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 ht="34" customHeight="1">
      <x:c r="A29" s="10" t="str">
        <x:v>对越桥</x:v>
      </x:c>
      <x:c r="B29" s="10" t="str">
        <x:v>水岸与桥梁</x:v>
      </x:c>
      <x:c r="C29" s="16" t="n">
        <x:v>117.2372214</x:v>
      </x:c>
      <x:c r="D29" s="16" t="n">
        <x:v>31.5145891</x:v>
      </x:c>
      <x:c r="E29" s="16" t="n">
        <x:v>117.242672</x:v>
      </x:c>
      <x:c r="F29" s="16" t="n">
        <x:v>31.512596</x:v>
      </x:c>
      <x:c r="G29" s="10" t="str">
        <x:v>GCJ02</x:v>
      </x:c>
      <x:c r="H29" s="13" t="str">
        <x:v>高德地图 POI</x:v>
      </x:c>
      <x:c r="I29" s="13" t="str">
        <x:v>核验点位</x:v>
      </x:c>
      <x:c r="J29" s="13" t="str">
        <x:v>exact</x:v>
      </x:c>
      <x:c r="K29" s="13" t="str">
        <x:v>https://ranks.amap.com/ranking/%E5%8F%A4%E9%95%87%E5%8F%A4%E6%9D%91/%E6%9D%8E%E9%B8%BF%E7%AB%A0%E6%95%85%E5%B1%85/%E6%B8%B8%E5%AE%A2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 ht="34" customHeight="1">
      <x:c r="A30" s="10" t="str">
        <x:v>游船码头</x:v>
      </x:c>
      <x:c r="B30" s="10" t="str">
        <x:v>水岸与桥梁</x:v>
      </x:c>
      <x:c r="C30" s="16" t="n">
        <x:v>117.23993</x:v>
      </x:c>
      <x:c r="D30" s="16" t="n">
        <x:v>31.51582</x:v>
      </x:c>
      <x:c r="E30" s="16" t="n">
        <x:v>117.23993</x:v>
      </x:c>
      <x:c r="F30" s="16" t="n">
        <x:v>31.51582</x:v>
      </x:c>
      <x:c r="G30" s="10" t="str">
        <x:v>WGS84</x:v>
      </x:c>
      <x:c r="H30" s="13" t="str">
        <x:v>小南河沿线人工代表点</x:v>
      </x:c>
      <x:c r="I30" s="13" t="str">
        <x:v>名称泛指，待现场核验</x:v>
      </x:c>
      <x:c r="J30" s="13" t="str">
        <x:v>representative</x:v>
      </x:c>
      <x:c r="K30" s="13" t="str">
        <x:v>https://www.openstreetmap.org/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 ht="34" customHeight="1">
      <x:c r="A31" s="10" t="str">
        <x:v>翠竹亭</x:v>
      </x:c>
      <x:c r="B31" s="10" t="str">
        <x:v>地标与服务</x:v>
      </x:c>
      <x:c r="C31" s="16" t="n">
        <x:v>117.2376133</x:v>
      </x:c>
      <x:c r="D31" s="16" t="n">
        <x:v>31.5159721</x:v>
      </x:c>
      <x:c r="E31" s="16" t="n">
        <x:v>117.243064</x:v>
      </x:c>
      <x:c r="F31" s="16" t="n">
        <x:v>31.513979</x:v>
      </x:c>
      <x:c r="G31" s="10" t="str">
        <x:v>GCJ02</x:v>
      </x:c>
      <x:c r="H31" s="13" t="str">
        <x:v>高德地图 POI</x:v>
      </x:c>
      <x:c r="I31" s="13" t="str">
        <x:v>核验点位</x:v>
      </x:c>
      <x:c r="J31" s="13" t="str">
        <x:v>exact</x:v>
      </x:c>
      <x:c r="K31" s="13" t="str">
        <x:v>https://ranks.amap.com/ranking/%E5%8F%A4%E9%95%87%E5%8F%A4%E6%9D%91/%E6%9D%8E%E9%B8%BF%E7%AB%A0%E6%95%85%E5%B1%85/%E6%B8%B8%E5%AE%A2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 ht="34" customHeight="1">
      <x:c r="A32" s="10" t="str">
        <x:v>英王府</x:v>
      </x:c>
      <x:c r="B32" s="10" t="str">
        <x:v>名人故居与文化</x:v>
      </x:c>
      <x:c r="C32" s="16" t="n">
        <x:v>117.240859</x:v>
      </x:c>
      <x:c r="D32" s="16" t="n">
        <x:v>31.513002</x:v>
      </x:c>
      <x:c r="E32" s="16" t="n">
        <x:v>117.240859</x:v>
      </x:c>
      <x:c r="F32" s="16" t="n">
        <x:v>31.513002</x:v>
      </x:c>
      <x:c r="G32" s="10" t="str">
        <x:v>WGS84</x:v>
      </x:c>
      <x:c r="H32" s="13" t="str">
        <x:v>OpenStreetMap 英王路中心段</x:v>
      </x:c>
      <x:c r="I32" s="13" t="str">
        <x:v>近似位置，待现场核验</x:v>
      </x:c>
      <x:c r="J32" s="13" t="str">
        <x:v>representative</x:v>
      </x:c>
      <x:c r="K32" s="13" t="str">
        <x:v>https://www.openstreetmap.org/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 ht="34" customHeight="1">
      <x:c r="A33" s="11" t="str">
        <x:v>鹊渚桥码头</x:v>
      </x:c>
      <x:c r="B33" s="11" t="str">
        <x:v>水岸与桥梁</x:v>
      </x:c>
      <x:c r="C33" s="17" t="n">
        <x:v>117.23962</x:v>
      </x:c>
      <x:c r="D33" s="17" t="n">
        <x:v>31.5117</x:v>
      </x:c>
      <x:c r="E33" s="17" t="n">
        <x:v>117.23962</x:v>
      </x:c>
      <x:c r="F33" s="17" t="n">
        <x:v>31.5117</x:v>
      </x:c>
      <x:c r="G33" s="11" t="str">
        <x:v>WGS84</x:v>
      </x:c>
      <x:c r="H33" s="14" t="str">
        <x:v>鹊渚廊桥附近代表点</x:v>
      </x:c>
      <x:c r="I33" s="14" t="str">
        <x:v>廊桥附近代表点</x:v>
      </x:c>
      <x:c r="J33" s="14" t="str">
        <x:v>representative</x:v>
      </x:c>
      <x:c r="K33" s="14" t="str">
        <x:v>https://www.openstreetmap.org/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mergeCells>
    <x:mergeCell ref="A2:H2"/>
    <x:mergeCell ref="A3:H3"/>
  </x:mergeCells>
  <x:conditionalFormatting sqref="A6:K33">
    <x:cfRule type="expression" dxfId="3" priority="1">
      <x:formula>$J6="representative"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34" hidden="0" customWidth="1"/>
    <x:col min="4" max="4" width="52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2" t="str">
        <x:v>方法与限制</x:v>
      </x:c>
      <x:c r="B2" s="2"/>
      <x:c r="C2" s="2"/>
      <x:c r="D2" s="2"/>
      <x:c r="E2" s="2"/>
      <x:c r="F2" s="2"/>
      <x:c r="G2" s="2"/>
      <x:c r="H2" s="2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3" t="str">
        <x:v>这里定义“地点提及”“样本占比”“坐标精度”等概念，避免把描述性地图误读为总体偏好或因果结果。</x:v>
      </x:c>
      <x:c r="B3" s="3"/>
      <x:c r="C3" s="3"/>
      <x:c r="D3" s="3"/>
      <x:c r="E3" s="3"/>
      <x:c r="F3" s="3"/>
      <x:c r="G3" s="3"/>
      <x:c r="H3" s="3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 ht="34" customHeight="1">
      <x:c r="A5" s="8" t="str">
        <x:v>环节</x:v>
      </x:c>
      <x:c r="B5" s="8" t="str">
        <x:v>操作规则</x:v>
      </x:c>
      <x:c r="C5" s="8" t="str">
        <x:v>本次结果</x:v>
      </x:c>
      <x:c r="D5" s="8" t="str">
        <x:v>风险／下一步</x:v>
      </x:c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 ht="62" customHeight="1">
      <x:c r="A6" s="13" t="str">
        <x:v>固定样本</x:v>
      </x:c>
      <x:c r="B6" s="13" t="str">
        <x:v>保留2026-09-16三组前台检索形成的134个唯一note_id</x:v>
      </x:c>
      <x:c r="C6" s="13" t="str">
        <x:v>134个ID全部保留</x:v>
      </x:c>
      <x:c r="D6" s="13" t="str">
        <x:v>算法检索不是概率抽样；结论不能外推全部内容</x:v>
      </x:c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 ht="62" customHeight="1">
      <x:c r="A7" s="13" t="str">
        <x:v>访客分析纳入</x:v>
      </x:c>
      <x:c r="B7" s="13" t="str">
        <x:v>排除明确无关、官方／景区和服务提供者等非访客条目</x:v>
      </x:c>
      <x:c r="C7" s="13" t="str">
        <x:v>86篇</x:v>
      </x:c>
      <x:c r="D7" s="13" t="str">
        <x:v>作者类型仍有初筛误差，建议主页人工复核</x:v>
      </x:c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 ht="62" customHeight="1">
      <x:c r="A8" s="13" t="str">
        <x:v>地点识别</x:v>
      </x:c>
      <x:c r="B8" s="13" t="str">
        <x:v>只认标题或已保存正文中明确出现的地点专名</x:v>
      </x:c>
      <x:c r="C8" s="13" t="str">
        <x:v>13篇出现明确地点</x:v>
      </x:c>
      <x:c r="D8" s="13" t="str">
        <x:v>73篇访客样本可能因正文未保存而漏计</x:v>
      </x:c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 ht="62" customHeight="1">
      <x:c r="A9" s="13" t="str">
        <x:v>地点去重</x:v>
      </x:c>
      <x:c r="B9" s="13" t="str">
        <x:v>同一篇同一地点计1次，一篇可计多个地点</x:v>
      </x:c>
      <x:c r="C9" s="13" t="str">
        <x:v>83条笔记—地点记录</x:v>
      </x:c>
      <x:c r="D9" s="13" t="str">
        <x:v>地点数相加可超过笔记数，百分比不能相加为100%</x:v>
      </x:c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 ht="62" customHeight="1">
      <x:c r="A10" s="13" t="str">
        <x:v>主指标</x:v>
      </x:c>
      <x:c r="B10" s="13" t="str">
        <x:v>地点被多少篇不同笔记明确提及</x:v>
      </x:c>
      <x:c r="C10" s="13" t="str">
        <x:v>28个地点，最高8篇</x:v>
      </x:c>
      <x:c r="D10" s="13" t="str">
        <x:v>应称“样本内提及频次”，不能称真实客流热度</x:v>
      </x:c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 ht="62" customHeight="1">
      <x:c r="A11" s="13" t="str">
        <x:v>分母</x:v>
      </x:c>
      <x:c r="B11" s="13" t="str">
        <x:v>同时报告访客样本占比（/86）与固定样本占比（/134）</x:v>
      </x:c>
      <x:c r="C11" s="13" t="str">
        <x:v>两套占比均保留</x:v>
      </x:c>
      <x:c r="D11" s="13" t="str">
        <x:v>不同分母不可混用；图表需明确标注</x:v>
      </x:c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 ht="62" customHeight="1">
      <x:c r="A12" s="13" t="str">
        <x:v>作者数</x:v>
      </x:c>
      <x:c r="B12" s="13" t="str">
        <x:v>同一地点下按作者名精确去重</x:v>
      </x:c>
      <x:c r="C12" s="13" t="str">
        <x:v>本数据中与笔记数相同</x:v>
      </x:c>
      <x:c r="D12" s="13" t="str">
        <x:v>同名／改名账号会造成偏差，不能等同真实人数</x:v>
      </x:c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 ht="62" customHeight="1">
      <x:c r="A13" s="13" t="str">
        <x:v>照片数</x:v>
      </x:c>
      <x:c r="B13" s="13" t="str">
        <x:v>只有图片逐张归属到地点后才能计数</x:v>
      </x:c>
      <x:c r="C13" s="13" t="str">
        <x:v>不可计算</x:v>
      </x:c>
      <x:c r="D13" s="13" t="str">
        <x:v>笔记配图总数不能直接分摊到多个地点</x:v>
      </x:c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 ht="62" customHeight="1">
      <x:c r="A14" s="13" t="str">
        <x:v>坐标</x:v>
      </x:c>
      <x:c r="B14" s="13" t="str">
        <x:v>公开GCJ-02点位转WGS84；OSM点位直接使用WGS84</x:v>
      </x:c>
      <x:c r="C14" s="13" t="str">
        <x:v>20个核验点位、8个代表／近似点</x:v>
      </x:c>
      <x:c r="D14" s="13" t="str">
        <x:v>代表点不可用于精确导航、距离或可达性分析</x:v>
      </x:c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 ht="62" customHeight="1">
      <x:c r="A15" s="13" t="str">
        <x:v>展示</x:v>
      </x:c>
      <x:c r="B15" s="13" t="str">
        <x:v>圆形实心=核验点位；空心菱形=代表／近似点；面积按提及数</x:v>
      </x:c>
      <x:c r="C15" s="13" t="str">
        <x:v>网页可筛选、点击查看证据</x:v>
      </x:c>
      <x:c r="D15" s="13" t="str">
        <x:v>视觉面积会放大差异，需同时显示原始计数</x:v>
      </x:c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 ht="62" customHeight="1">
      <x:c r="A16" s="14" t="str">
        <x:v>补强顺序</x:v>
      </x:c>
      <x:c r="B16" s="14" t="str">
        <x:v>先补73篇正文，再做逐图地点标注，最后现场核验近似坐标</x:v>
      </x:c>
      <x:c r="C16" s="14" t="str">
        <x:v>未执行</x:v>
      </x:c>
      <x:c r="D16" s="14" t="str">
        <x:v>这是提高结论效度的主要时间与人工成本</x:v>
      </x:c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</x:sheetData>
  <x:mergeCells>
    <x:mergeCell ref="A2:H2"/>
    <x:mergeCell ref="A3:H3"/>
  </x:mergeCells>
  <x:pageMargins left="0.7" right="0.7" top="0.75" bottom="0.75" header="0.3" footer="0.3"/>
</x:worksheet>
</file>